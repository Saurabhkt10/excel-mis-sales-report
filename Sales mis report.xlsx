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796cd965d6855e/Documents/"/>
    </mc:Choice>
  </mc:AlternateContent>
  <xr:revisionPtr revIDLastSave="77" documentId="8_{E024282D-66B8-4FFD-9927-3A3857F0E7BB}" xr6:coauthVersionLast="47" xr6:coauthVersionMax="47" xr10:uidLastSave="{E7251784-6829-4CA5-95B6-309E757FC080}"/>
  <bookViews>
    <workbookView xWindow="-108" yWindow="-108" windowWidth="23256" windowHeight="12456" activeTab="1" xr2:uid="{C2BD63AB-8D59-4FAB-85EC-75354354EFCB}"/>
  </bookViews>
  <sheets>
    <sheet name="Item Master" sheetId="5" r:id="rId1"/>
    <sheet name="Transactions" sheetId="1" r:id="rId2"/>
    <sheet name="Mis" sheetId="7" r:id="rId3"/>
  </sheets>
  <externalReferences>
    <externalReference r:id="rId4"/>
  </externalReferences>
  <calcPr calcId="191029"/>
  <pivotCaches>
    <pivotCache cacheId="4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/>
  <c r="G5" i="1" a="1"/>
  <c r="G5" i="1"/>
  <c r="G6" i="1" a="1"/>
  <c r="G6" i="1"/>
  <c r="G7" i="1" a="1"/>
  <c r="G7" i="1"/>
  <c r="G8" i="1" a="1"/>
  <c r="G8" i="1" s="1"/>
  <c r="G9" i="1" a="1"/>
  <c r="G9" i="1" s="1"/>
  <c r="G10" i="1" a="1"/>
  <c r="G10" i="1"/>
  <c r="G11" i="1" a="1"/>
  <c r="G11" i="1"/>
  <c r="G12" i="1" a="1"/>
  <c r="G12" i="1"/>
  <c r="G13" i="1" a="1"/>
  <c r="G13" i="1"/>
  <c r="G14" i="1" a="1"/>
  <c r="G14" i="1" s="1"/>
  <c r="G15" i="1" a="1"/>
  <c r="G15" i="1" s="1"/>
  <c r="G16" i="1" a="1"/>
  <c r="G16" i="1" s="1"/>
  <c r="G17" i="1" a="1"/>
  <c r="G17" i="1"/>
  <c r="G18" i="1" a="1"/>
  <c r="G18" i="1"/>
  <c r="G19" i="1" a="1"/>
  <c r="G19" i="1"/>
  <c r="G20" i="1" a="1"/>
  <c r="G20" i="1" s="1"/>
  <c r="G21" i="1" a="1"/>
  <c r="G21" i="1"/>
  <c r="G22" i="1" a="1"/>
  <c r="G22" i="1" s="1"/>
  <c r="G23" i="1" a="1"/>
  <c r="G23" i="1"/>
  <c r="G24" i="1" a="1"/>
  <c r="G24" i="1"/>
  <c r="G25" i="1" a="1"/>
  <c r="G25" i="1"/>
  <c r="G26" i="1" a="1"/>
  <c r="G26" i="1" s="1"/>
  <c r="G27" i="1" a="1"/>
  <c r="G27" i="1"/>
  <c r="G28" i="1" a="1"/>
  <c r="G28" i="1" s="1"/>
  <c r="G29" i="1" a="1"/>
  <c r="G29" i="1" s="1"/>
  <c r="G30" i="1" a="1"/>
  <c r="G30" i="1"/>
  <c r="G31" i="1" a="1"/>
  <c r="G31" i="1"/>
  <c r="G32" i="1" a="1"/>
  <c r="G32" i="1" s="1"/>
  <c r="G33" i="1" a="1"/>
  <c r="G33" i="1"/>
  <c r="G34" i="1" a="1"/>
  <c r="G34" i="1"/>
  <c r="G35" i="1" a="1"/>
  <c r="G35" i="1" s="1"/>
  <c r="G36" i="1" a="1"/>
  <c r="G36" i="1"/>
  <c r="G37" i="1" a="1"/>
  <c r="G37" i="1"/>
  <c r="G38" i="1" a="1"/>
  <c r="G38" i="1" s="1"/>
  <c r="G39" i="1" a="1"/>
  <c r="G39" i="1"/>
  <c r="G40" i="1" a="1"/>
  <c r="G40" i="1"/>
  <c r="G41" i="1" a="1"/>
  <c r="G41" i="1" s="1"/>
  <c r="G42" i="1" a="1"/>
  <c r="G42" i="1" s="1"/>
  <c r="G43" i="1" a="1"/>
  <c r="G43" i="1"/>
  <c r="G44" i="1" a="1"/>
  <c r="G44" i="1" s="1"/>
  <c r="G45" i="1" a="1"/>
  <c r="G45" i="1"/>
  <c r="G46" i="1" a="1"/>
  <c r="G46" i="1"/>
  <c r="G47" i="1" a="1"/>
  <c r="G47" i="1"/>
  <c r="G48" i="1" a="1"/>
  <c r="G48" i="1" s="1"/>
  <c r="G49" i="1" a="1"/>
  <c r="G49" i="1" s="1"/>
  <c r="G50" i="1" a="1"/>
  <c r="G50" i="1" s="1"/>
  <c r="G51" i="1" a="1"/>
  <c r="G51" i="1"/>
  <c r="G52" i="1" a="1"/>
  <c r="G52" i="1"/>
  <c r="G53" i="1" a="1"/>
  <c r="G53" i="1"/>
  <c r="G54" i="1" a="1"/>
  <c r="G54" i="1"/>
  <c r="G55" i="1" a="1"/>
  <c r="G55" i="1" s="1"/>
  <c r="G56" i="1" a="1"/>
  <c r="G56" i="1" s="1"/>
  <c r="G57" i="1" a="1"/>
  <c r="G57" i="1"/>
  <c r="G58" i="1" a="1"/>
  <c r="G58" i="1"/>
  <c r="G59" i="1" a="1"/>
  <c r="G59" i="1"/>
  <c r="G60" i="1" a="1"/>
  <c r="G60" i="1"/>
  <c r="G61" i="1" a="1"/>
  <c r="G61" i="1" s="1"/>
  <c r="G62" i="1" a="1"/>
  <c r="G62" i="1" s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 s="1"/>
  <c r="G69" i="1" a="1"/>
  <c r="G69" i="1" s="1"/>
  <c r="G70" i="1" a="1"/>
  <c r="G70" i="1"/>
  <c r="G71" i="1" a="1"/>
  <c r="G71" i="1"/>
  <c r="G72" i="1" a="1"/>
  <c r="G72" i="1"/>
  <c r="G73" i="1" a="1"/>
  <c r="G73" i="1"/>
  <c r="G74" i="1" a="1"/>
  <c r="G74" i="1" s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 s="1"/>
  <c r="G81" i="1" a="1"/>
  <c r="G81" i="1" s="1"/>
  <c r="G82" i="1" a="1"/>
  <c r="G82" i="1" s="1"/>
  <c r="G83" i="1" a="1"/>
  <c r="G83" i="1"/>
  <c r="G84" i="1" a="1"/>
  <c r="G84" i="1"/>
  <c r="G85" i="1" a="1"/>
  <c r="G85" i="1"/>
  <c r="G86" i="1" a="1"/>
  <c r="G86" i="1" s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 s="1"/>
  <c r="G93" i="1" a="1"/>
  <c r="G93" i="1"/>
  <c r="G94" i="1" a="1"/>
  <c r="G94" i="1" s="1"/>
  <c r="G95" i="1" a="1"/>
  <c r="G95" i="1" s="1"/>
  <c r="G96" i="1" a="1"/>
  <c r="G96" i="1"/>
  <c r="G97" i="1" a="1"/>
  <c r="G97" i="1"/>
  <c r="G98" i="1" a="1"/>
  <c r="G98" i="1" s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 s="1"/>
  <c r="G105" i="1" a="1"/>
  <c r="G105" i="1"/>
  <c r="G106" i="1" a="1"/>
  <c r="G106" i="1"/>
  <c r="G107" i="1" a="1"/>
  <c r="G107" i="1" s="1"/>
  <c r="G108" i="1" a="1"/>
  <c r="G108" i="1" s="1"/>
  <c r="G109" i="1" a="1"/>
  <c r="G109" i="1"/>
  <c r="G110" i="1" a="1"/>
  <c r="G110" i="1" s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 s="1"/>
  <c r="G117" i="1" a="1"/>
  <c r="G117" i="1"/>
  <c r="G118" i="1" a="1"/>
  <c r="G118" i="1"/>
  <c r="G119" i="1" a="1"/>
  <c r="G119" i="1"/>
  <c r="G120" i="1" a="1"/>
  <c r="G120" i="1" s="1"/>
  <c r="G121" i="1" a="1"/>
  <c r="G121" i="1" s="1"/>
  <c r="G122" i="1" a="1"/>
  <c r="G122" i="1" s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 s="1"/>
  <c r="G129" i="1" a="1"/>
  <c r="G129" i="1"/>
  <c r="G130" i="1" a="1"/>
  <c r="G130" i="1"/>
  <c r="G131" i="1" a="1"/>
  <c r="G131" i="1"/>
  <c r="G132" i="1" a="1"/>
  <c r="G132" i="1"/>
  <c r="G133" i="1" a="1"/>
  <c r="G133" i="1" s="1"/>
  <c r="G134" i="1" a="1"/>
  <c r="G134" i="1" s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 s="1"/>
  <c r="G141" i="1" a="1"/>
  <c r="G141" i="1" s="1"/>
  <c r="G142" i="1" a="1"/>
  <c r="G142" i="1"/>
  <c r="G143" i="1" a="1"/>
  <c r="G143" i="1"/>
  <c r="G144" i="1" a="1"/>
  <c r="G144" i="1"/>
  <c r="G145" i="1" a="1"/>
  <c r="G145" i="1"/>
  <c r="G146" i="1" a="1"/>
  <c r="G146" i="1" s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 s="1"/>
  <c r="G153" i="1" a="1"/>
  <c r="G153" i="1" s="1"/>
  <c r="G154" i="1" a="1"/>
  <c r="G154" i="1" s="1"/>
  <c r="G155" i="1" a="1"/>
  <c r="G155" i="1"/>
  <c r="G156" i="1" a="1"/>
  <c r="G156" i="1"/>
  <c r="G157" i="1" a="1"/>
  <c r="G157" i="1"/>
  <c r="G158" i="1" a="1"/>
  <c r="G158" i="1" s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 s="1"/>
  <c r="G165" i="1" a="1"/>
  <c r="G165" i="1"/>
  <c r="G166" i="1" a="1"/>
  <c r="G166" i="1" s="1"/>
  <c r="G167" i="1" a="1"/>
  <c r="G167" i="1" s="1"/>
  <c r="G168" i="1" a="1"/>
  <c r="G168" i="1"/>
  <c r="G169" i="1" a="1"/>
  <c r="G169" i="1"/>
  <c r="G170" i="1" a="1"/>
  <c r="G170" i="1" s="1"/>
  <c r="G171" i="1" a="1"/>
  <c r="G171" i="1"/>
  <c r="G172" i="1" a="1"/>
  <c r="G172" i="1"/>
  <c r="G173" i="1" a="1"/>
  <c r="G173" i="1" s="1"/>
  <c r="G174" i="1" a="1"/>
  <c r="G174" i="1" s="1"/>
  <c r="G175" i="1" a="1"/>
  <c r="G175" i="1"/>
  <c r="G176" i="1" a="1"/>
  <c r="G176" i="1" s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 s="1"/>
  <c r="G183" i="1" a="1"/>
  <c r="G183" i="1"/>
  <c r="G184" i="1" a="1"/>
  <c r="G184" i="1"/>
  <c r="G185" i="1" a="1"/>
  <c r="G185" i="1"/>
  <c r="G186" i="1" a="1"/>
  <c r="G186" i="1" s="1"/>
  <c r="G187" i="1" a="1"/>
  <c r="G187" i="1" s="1"/>
  <c r="G188" i="1" a="1"/>
  <c r="G188" i="1" s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 s="1"/>
  <c r="G195" i="1" a="1"/>
  <c r="G195" i="1"/>
  <c r="G196" i="1" a="1"/>
  <c r="G196" i="1"/>
  <c r="G197" i="1" a="1"/>
  <c r="G197" i="1"/>
  <c r="G198" i="1" a="1"/>
  <c r="G198" i="1"/>
  <c r="G199" i="1" a="1"/>
  <c r="G199" i="1" s="1"/>
  <c r="G200" i="1" a="1"/>
  <c r="G200" i="1" s="1"/>
  <c r="F2" i="1" a="1"/>
  <c r="F2" i="1" s="1"/>
  <c r="F3" i="1" a="1"/>
  <c r="F3" i="1"/>
  <c r="F4" i="1" a="1"/>
  <c r="F4" i="1" s="1"/>
  <c r="F5" i="1" a="1"/>
  <c r="F5" i="1"/>
  <c r="F6" i="1" a="1"/>
  <c r="F6" i="1"/>
  <c r="F7" i="1" a="1"/>
  <c r="F7" i="1"/>
  <c r="F8" i="1" a="1"/>
  <c r="F8" i="1" s="1"/>
  <c r="F9" i="1" a="1"/>
  <c r="F9" i="1" s="1"/>
  <c r="F10" i="1" a="1"/>
  <c r="F10" i="1" s="1"/>
  <c r="F11" i="1" a="1"/>
  <c r="F11" i="1"/>
  <c r="F12" i="1" a="1"/>
  <c r="F12" i="1"/>
  <c r="F13" i="1" a="1"/>
  <c r="F13" i="1"/>
  <c r="F14" i="1" a="1"/>
  <c r="F14" i="1" s="1"/>
  <c r="F15" i="1" a="1"/>
  <c r="F15" i="1" s="1"/>
  <c r="F16" i="1" a="1"/>
  <c r="F16" i="1" s="1"/>
  <c r="F17" i="1" a="1"/>
  <c r="F17" i="1"/>
  <c r="F18" i="1" a="1"/>
  <c r="F18" i="1"/>
  <c r="F19" i="1" a="1"/>
  <c r="F19" i="1"/>
  <c r="F20" i="1" a="1"/>
  <c r="F20" i="1" s="1"/>
  <c r="F21" i="1" a="1"/>
  <c r="F21" i="1"/>
  <c r="F22" i="1" a="1"/>
  <c r="F22" i="1" s="1"/>
  <c r="F23" i="1" a="1"/>
  <c r="F23" i="1"/>
  <c r="F24" i="1" a="1"/>
  <c r="F24" i="1"/>
  <c r="F25" i="1" a="1"/>
  <c r="F25" i="1"/>
  <c r="F26" i="1" a="1"/>
  <c r="F26" i="1" s="1"/>
  <c r="F27" i="1" a="1"/>
  <c r="F27" i="1"/>
  <c r="F28" i="1" a="1"/>
  <c r="F28" i="1" s="1"/>
  <c r="F29" i="1" a="1"/>
  <c r="F29" i="1"/>
  <c r="F30" i="1" a="1"/>
  <c r="F30" i="1"/>
  <c r="F31" i="1" a="1"/>
  <c r="F31" i="1"/>
  <c r="F32" i="1" a="1"/>
  <c r="F32" i="1" s="1"/>
  <c r="F33" i="1" a="1"/>
  <c r="F33" i="1"/>
  <c r="F34" i="1" a="1"/>
  <c r="F34" i="1" s="1"/>
  <c r="F35" i="1" a="1"/>
  <c r="F35" i="1"/>
  <c r="F36" i="1" a="1"/>
  <c r="F36" i="1"/>
  <c r="F37" i="1" a="1"/>
  <c r="F37" i="1"/>
  <c r="F38" i="1" a="1"/>
  <c r="F38" i="1" s="1"/>
  <c r="F39" i="1" a="1"/>
  <c r="F39" i="1"/>
  <c r="F40" i="1" a="1"/>
  <c r="F40" i="1" s="1"/>
  <c r="F41" i="1" a="1"/>
  <c r="F41" i="1"/>
  <c r="F42" i="1" a="1"/>
  <c r="F42" i="1"/>
  <c r="F43" i="1" a="1"/>
  <c r="F43" i="1"/>
  <c r="F44" i="1" a="1"/>
  <c r="F44" i="1" s="1"/>
  <c r="F45" i="1" a="1"/>
  <c r="F45" i="1"/>
  <c r="F46" i="1" a="1"/>
  <c r="F46" i="1" s="1"/>
  <c r="F47" i="1" a="1"/>
  <c r="F47" i="1"/>
  <c r="F48" i="1" a="1"/>
  <c r="F48" i="1"/>
  <c r="F49" i="1" a="1"/>
  <c r="F49" i="1"/>
  <c r="F50" i="1" a="1"/>
  <c r="F50" i="1" s="1"/>
  <c r="F51" i="1" a="1"/>
  <c r="F51" i="1" s="1"/>
  <c r="F52" i="1" a="1"/>
  <c r="F52" i="1" s="1"/>
  <c r="F53" i="1" a="1"/>
  <c r="F53" i="1"/>
  <c r="F54" i="1" a="1"/>
  <c r="F54" i="1"/>
  <c r="F55" i="1" a="1"/>
  <c r="F55" i="1"/>
  <c r="F56" i="1" a="1"/>
  <c r="F56" i="1" s="1"/>
  <c r="F57" i="1" a="1"/>
  <c r="F57" i="1"/>
  <c r="F58" i="1" a="1"/>
  <c r="F58" i="1" s="1"/>
  <c r="F59" i="1" a="1"/>
  <c r="F59" i="1"/>
  <c r="F60" i="1" a="1"/>
  <c r="F60" i="1"/>
  <c r="F61" i="1" a="1"/>
  <c r="F61" i="1"/>
  <c r="F62" i="1" a="1"/>
  <c r="F62" i="1" s="1"/>
  <c r="F63" i="1" a="1"/>
  <c r="F63" i="1"/>
  <c r="F64" i="1" a="1"/>
  <c r="F64" i="1" s="1"/>
  <c r="F65" i="1" a="1"/>
  <c r="F65" i="1"/>
  <c r="F66" i="1" a="1"/>
  <c r="F66" i="1"/>
  <c r="F67" i="1" a="1"/>
  <c r="F67" i="1"/>
  <c r="F68" i="1" a="1"/>
  <c r="F68" i="1" s="1"/>
  <c r="F69" i="1" a="1"/>
  <c r="F69" i="1"/>
  <c r="F70" i="1" a="1"/>
  <c r="F70" i="1" s="1"/>
  <c r="F71" i="1" a="1"/>
  <c r="F71" i="1"/>
  <c r="F72" i="1" a="1"/>
  <c r="F72" i="1"/>
  <c r="F73" i="1" a="1"/>
  <c r="F73" i="1"/>
  <c r="F74" i="1" a="1"/>
  <c r="F74" i="1" s="1"/>
  <c r="F75" i="1" a="1"/>
  <c r="F75" i="1"/>
  <c r="F76" i="1" a="1"/>
  <c r="F76" i="1" s="1"/>
  <c r="F77" i="1" a="1"/>
  <c r="F77" i="1"/>
  <c r="F78" i="1" a="1"/>
  <c r="F78" i="1"/>
  <c r="F79" i="1" a="1"/>
  <c r="F79" i="1"/>
  <c r="F80" i="1" a="1"/>
  <c r="F80" i="1" s="1"/>
  <c r="F81" i="1" a="1"/>
  <c r="F81" i="1"/>
  <c r="F82" i="1" a="1"/>
  <c r="F82" i="1" s="1"/>
  <c r="F83" i="1" a="1"/>
  <c r="F83" i="1"/>
  <c r="F84" i="1" a="1"/>
  <c r="F84" i="1"/>
  <c r="F85" i="1" a="1"/>
  <c r="F85" i="1"/>
  <c r="F86" i="1" a="1"/>
  <c r="F86" i="1" s="1"/>
  <c r="F87" i="1" a="1"/>
  <c r="F87" i="1" s="1"/>
  <c r="F88" i="1" a="1"/>
  <c r="F88" i="1" s="1"/>
  <c r="F89" i="1" a="1"/>
  <c r="F89" i="1"/>
  <c r="F90" i="1" a="1"/>
  <c r="F90" i="1"/>
  <c r="F91" i="1" a="1"/>
  <c r="F91" i="1"/>
  <c r="F92" i="1" a="1"/>
  <c r="F92" i="1" s="1"/>
  <c r="F93" i="1" a="1"/>
  <c r="F93" i="1"/>
  <c r="F94" i="1" a="1"/>
  <c r="F94" i="1" s="1"/>
  <c r="F95" i="1" a="1"/>
  <c r="F95" i="1"/>
  <c r="F96" i="1" a="1"/>
  <c r="F96" i="1"/>
  <c r="F97" i="1" a="1"/>
  <c r="F97" i="1"/>
  <c r="F98" i="1" a="1"/>
  <c r="F98" i="1" s="1"/>
  <c r="F99" i="1" a="1"/>
  <c r="F99" i="1"/>
  <c r="F100" i="1" a="1"/>
  <c r="F100" i="1" s="1"/>
  <c r="F101" i="1" a="1"/>
  <c r="F101" i="1"/>
  <c r="F102" i="1" a="1"/>
  <c r="F102" i="1"/>
  <c r="F103" i="1" a="1"/>
  <c r="F103" i="1"/>
  <c r="F104" i="1" a="1"/>
  <c r="F104" i="1" s="1"/>
  <c r="F105" i="1" a="1"/>
  <c r="F105" i="1"/>
  <c r="F106" i="1" a="1"/>
  <c r="F106" i="1" s="1"/>
  <c r="F107" i="1" a="1"/>
  <c r="F107" i="1"/>
  <c r="F108" i="1" a="1"/>
  <c r="F108" i="1"/>
  <c r="F109" i="1" a="1"/>
  <c r="F109" i="1"/>
  <c r="F110" i="1" a="1"/>
  <c r="F110" i="1" s="1"/>
  <c r="F111" i="1" a="1"/>
  <c r="F111" i="1"/>
  <c r="F112" i="1" a="1"/>
  <c r="F112" i="1" s="1"/>
  <c r="F113" i="1" a="1"/>
  <c r="F113" i="1"/>
  <c r="F114" i="1" a="1"/>
  <c r="F114" i="1"/>
  <c r="F115" i="1" a="1"/>
  <c r="F115" i="1"/>
  <c r="F116" i="1" a="1"/>
  <c r="F116" i="1" s="1"/>
  <c r="F117" i="1" a="1"/>
  <c r="F117" i="1"/>
  <c r="F118" i="1" a="1"/>
  <c r="F118" i="1" s="1"/>
  <c r="F119" i="1" a="1"/>
  <c r="F119" i="1"/>
  <c r="F120" i="1" a="1"/>
  <c r="F120" i="1"/>
  <c r="F121" i="1" a="1"/>
  <c r="F121" i="1"/>
  <c r="F122" i="1" a="1"/>
  <c r="F122" i="1" s="1"/>
  <c r="F123" i="1" a="1"/>
  <c r="F123" i="1" s="1"/>
  <c r="F124" i="1" a="1"/>
  <c r="F124" i="1" s="1"/>
  <c r="F125" i="1" a="1"/>
  <c r="F125" i="1"/>
  <c r="F126" i="1" a="1"/>
  <c r="F126" i="1"/>
  <c r="F127" i="1" a="1"/>
  <c r="F127" i="1"/>
  <c r="F128" i="1" a="1"/>
  <c r="F128" i="1" s="1"/>
  <c r="F129" i="1" a="1"/>
  <c r="F129" i="1"/>
  <c r="F130" i="1" a="1"/>
  <c r="F130" i="1" s="1"/>
  <c r="F131" i="1" a="1"/>
  <c r="F131" i="1"/>
  <c r="F132" i="1" a="1"/>
  <c r="F132" i="1"/>
  <c r="F133" i="1" a="1"/>
  <c r="F133" i="1"/>
  <c r="F134" i="1" a="1"/>
  <c r="F134" i="1" s="1"/>
  <c r="F135" i="1" a="1"/>
  <c r="F135" i="1"/>
  <c r="F136" i="1" a="1"/>
  <c r="F136" i="1" s="1"/>
  <c r="F137" i="1" a="1"/>
  <c r="F137" i="1"/>
  <c r="F138" i="1" a="1"/>
  <c r="F138" i="1"/>
  <c r="F139" i="1" a="1"/>
  <c r="F139" i="1"/>
  <c r="F140" i="1" a="1"/>
  <c r="F140" i="1" s="1"/>
  <c r="F141" i="1" a="1"/>
  <c r="F141" i="1"/>
  <c r="F142" i="1" a="1"/>
  <c r="F142" i="1" s="1"/>
  <c r="F143" i="1" a="1"/>
  <c r="F143" i="1"/>
  <c r="F144" i="1" a="1"/>
  <c r="F144" i="1"/>
  <c r="F145" i="1" a="1"/>
  <c r="F145" i="1"/>
  <c r="F146" i="1" a="1"/>
  <c r="F146" i="1" s="1"/>
  <c r="F147" i="1" a="1"/>
  <c r="F147" i="1"/>
  <c r="F148" i="1" a="1"/>
  <c r="F148" i="1" s="1"/>
  <c r="F149" i="1" a="1"/>
  <c r="F149" i="1"/>
  <c r="F150" i="1" a="1"/>
  <c r="F150" i="1"/>
  <c r="F151" i="1" a="1"/>
  <c r="F151" i="1"/>
  <c r="F152" i="1" a="1"/>
  <c r="F152" i="1" s="1"/>
  <c r="F153" i="1" a="1"/>
  <c r="F153" i="1"/>
  <c r="F154" i="1" a="1"/>
  <c r="F154" i="1" s="1"/>
  <c r="F155" i="1" a="1"/>
  <c r="F155" i="1"/>
  <c r="F156" i="1" a="1"/>
  <c r="F156" i="1"/>
  <c r="F157" i="1" a="1"/>
  <c r="F157" i="1"/>
  <c r="F158" i="1" a="1"/>
  <c r="F158" i="1" s="1"/>
  <c r="F159" i="1" a="1"/>
  <c r="F159" i="1" s="1"/>
  <c r="F160" i="1" a="1"/>
  <c r="F160" i="1" s="1"/>
  <c r="F161" i="1" a="1"/>
  <c r="F161" i="1"/>
  <c r="F162" i="1" a="1"/>
  <c r="F162" i="1"/>
  <c r="F163" i="1" a="1"/>
  <c r="F163" i="1"/>
  <c r="F164" i="1" a="1"/>
  <c r="F164" i="1" s="1"/>
  <c r="F165" i="1" a="1"/>
  <c r="F165" i="1"/>
  <c r="F166" i="1" a="1"/>
  <c r="F166" i="1" s="1"/>
  <c r="F167" i="1" a="1"/>
  <c r="F167" i="1"/>
  <c r="F168" i="1" a="1"/>
  <c r="F168" i="1"/>
  <c r="F169" i="1" a="1"/>
  <c r="F169" i="1"/>
  <c r="F170" i="1" a="1"/>
  <c r="F170" i="1" s="1"/>
  <c r="F171" i="1" a="1"/>
  <c r="F171" i="1"/>
  <c r="F172" i="1" a="1"/>
  <c r="F172" i="1" s="1"/>
  <c r="F173" i="1" a="1"/>
  <c r="F173" i="1"/>
  <c r="F174" i="1" a="1"/>
  <c r="F174" i="1"/>
  <c r="F175" i="1" a="1"/>
  <c r="F175" i="1"/>
  <c r="F176" i="1" a="1"/>
  <c r="F176" i="1" s="1"/>
  <c r="F177" i="1" a="1"/>
  <c r="F177" i="1"/>
  <c r="F178" i="1" a="1"/>
  <c r="F178" i="1" s="1"/>
  <c r="F179" i="1" a="1"/>
  <c r="F179" i="1"/>
  <c r="F180" i="1" a="1"/>
  <c r="F180" i="1"/>
  <c r="F181" i="1" a="1"/>
  <c r="F181" i="1"/>
  <c r="F182" i="1" a="1"/>
  <c r="F182" i="1" s="1"/>
  <c r="F183" i="1" a="1"/>
  <c r="F183" i="1"/>
  <c r="F184" i="1" a="1"/>
  <c r="F184" i="1" s="1"/>
  <c r="F185" i="1" a="1"/>
  <c r="F185" i="1"/>
  <c r="F186" i="1" a="1"/>
  <c r="F186" i="1"/>
  <c r="F187" i="1" a="1"/>
  <c r="F187" i="1"/>
  <c r="F188" i="1" a="1"/>
  <c r="F188" i="1" s="1"/>
  <c r="F189" i="1" a="1"/>
  <c r="F189" i="1"/>
  <c r="F190" i="1" a="1"/>
  <c r="F190" i="1" s="1"/>
  <c r="F191" i="1" a="1"/>
  <c r="F191" i="1"/>
  <c r="F192" i="1" a="1"/>
  <c r="F192" i="1" s="1"/>
  <c r="F193" i="1" a="1"/>
  <c r="F193" i="1"/>
  <c r="F194" i="1" a="1"/>
  <c r="F194" i="1" s="1"/>
  <c r="F195" i="1" a="1"/>
  <c r="F195" i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<sst xmlns="http://schemas.openxmlformats.org/spreadsheetml/2006/main" count="825" uniqueCount="219">
  <si>
    <t>I101</t>
  </si>
  <si>
    <t>I102</t>
  </si>
  <si>
    <t>I103</t>
  </si>
  <si>
    <t>I104</t>
  </si>
  <si>
    <t>I105</t>
  </si>
  <si>
    <t>Date</t>
  </si>
  <si>
    <t>Code</t>
  </si>
  <si>
    <t>Qty</t>
  </si>
  <si>
    <t>Rate</t>
  </si>
  <si>
    <t xml:space="preserve">Name </t>
  </si>
  <si>
    <t>Category</t>
  </si>
  <si>
    <t>Amount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</si>
  <si>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</si>
  <si>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</si>
  <si>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</si>
  <si>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</si>
  <si>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</si>
  <si>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</si>
  <si>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</si>
  <si>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</si>
  <si>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</si>
  <si>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</si>
  <si>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</si>
  <si>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</si>
  <si>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</si>
  <si>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</si>
  <si>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</si>
  <si>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</si>
  <si>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</si>
  <si>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</si>
  <si>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</si>
  <si>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</si>
  <si>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</si>
  <si>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</si>
  <si>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</si>
  <si>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</si>
  <si>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</si>
  <si>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</si>
  <si>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</si>
  <si>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</si>
  <si>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</si>
  <si>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</si>
  <si>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</si>
  <si>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</si>
  <si>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</si>
  <si>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</si>
  <si>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</si>
  <si>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</si>
  <si>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</si>
  <si>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</si>
  <si>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</si>
  <si>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</si>
  <si>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</si>
  <si>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</si>
  <si>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</si>
  <si>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</si>
  <si>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</si>
  <si>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</si>
  <si>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</si>
  <si>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</si>
  <si>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</si>
  <si>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</si>
  <si>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</si>
  <si>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</si>
  <si>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</si>
  <si>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</si>
  <si>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</si>
  <si>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</si>
  <si>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</si>
  <si>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</si>
  <si>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</si>
  <si>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</si>
  <si>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</si>
  <si>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</si>
  <si>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</si>
  <si>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</si>
  <si>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</si>
  <si>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</si>
  <si>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</si>
  <si>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</si>
  <si>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</si>
  <si>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</si>
  <si>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</si>
  <si>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</si>
  <si>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</si>
  <si>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</si>
  <si>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</si>
  <si>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</si>
  <si>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</si>
  <si>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</si>
  <si>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</si>
  <si>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</si>
  <si>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</si>
  <si>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</si>
  <si>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</si>
  <si>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</si>
  <si>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</si>
  <si>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</si>
  <si>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</si>
  <si>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</si>
  <si>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</si>
  <si>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</si>
  <si>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</si>
  <si>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</si>
  <si>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</si>
  <si>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</si>
  <si>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</si>
  <si>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</si>
  <si>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</si>
  <si>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</si>
  <si>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</si>
  <si>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</si>
  <si>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</si>
  <si>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</si>
  <si>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</si>
  <si>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</si>
  <si>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</si>
  <si>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</si>
  <si>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</si>
  <si>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</si>
  <si>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</si>
  <si>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</si>
  <si>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</si>
  <si>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</si>
  <si>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</si>
  <si>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</si>
  <si>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</si>
  <si>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</si>
  <si>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</si>
  <si>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</si>
  <si>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</si>
  <si>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</si>
  <si>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</si>
  <si>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</si>
  <si>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</si>
  <si>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</si>
  <si>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</si>
  <si>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</si>
  <si>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</si>
  <si>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</si>
  <si>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</si>
  <si>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</si>
  <si>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</si>
  <si>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</si>
  <si>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</si>
  <si>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</si>
  <si>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</si>
  <si>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</si>
  <si>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</si>
  <si>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</si>
  <si>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</si>
  <si>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</si>
  <si>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</si>
  <si>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</si>
  <si>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</si>
  <si>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</si>
  <si>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</si>
  <si>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</si>
  <si>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</si>
  <si>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</si>
  <si>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</si>
  <si>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</si>
  <si>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</si>
  <si>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</si>
  <si>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</si>
  <si>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</si>
  <si>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</si>
  <si>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</si>
  <si>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</si>
  <si>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</si>
  <si>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</si>
  <si>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</si>
  <si>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</si>
  <si>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</si>
  <si>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</si>
  <si>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</si>
  <si>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</si>
  <si>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</si>
  <si>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</si>
  <si>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</si>
  <si>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</si>
  <si>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</si>
  <si>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</si>
  <si>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</si>
  <si>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</si>
  <si>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</si>
  <si>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</si>
  <si>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</si>
  <si>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</si>
  <si>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</si>
  <si>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</si>
  <si>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</si>
  <si>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</si>
  <si>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</si>
  <si>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</si>
  <si>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</si>
  <si>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</si>
  <si>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</si>
  <si>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</si>
  <si>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</si>
  <si>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</si>
  <si>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</si>
  <si>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</si>
  <si>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</si>
  <si>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</si>
  <si>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</si>
  <si>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Amount2</t>
  </si>
  <si>
    <t>Sum of Amount</t>
  </si>
  <si>
    <t>Row Labels</t>
  </si>
  <si>
    <t>Eraser</t>
  </si>
  <si>
    <t>File</t>
  </si>
  <si>
    <t>Marker</t>
  </si>
  <si>
    <t>Notebook</t>
  </si>
  <si>
    <t>Pen</t>
  </si>
  <si>
    <t>Grand Total</t>
  </si>
  <si>
    <t>Stationery</t>
  </si>
  <si>
    <t>Office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</si>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</sst>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3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3796cd965d6855e/Documents/Item%20Master.xlsx" TargetMode="External"/><Relationship Id="rId1" Type="http://schemas.openxmlformats.org/officeDocument/2006/relationships/externalLinkPath" Target="Item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 Master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Tiwari" refreshedDate="46016.502539583336" createdVersion="8" refreshedVersion="8" minRefreshableVersion="3" recordCount="199" xr:uid="{6210E49C-DC0C-4705-939D-37DDC339149A}">
  <cacheSource type="worksheet">
    <worksheetSource name="Table2"/>
  </cacheSource>
  <cacheFields count="8">
    <cacheField name="Date" numFmtId="14">
      <sharedItems containsSemiMixedTypes="0" containsNonDate="0" containsDate="1" containsString="0" minDate="2025-01-01T00:00:00" maxDate="2025-01-04T00:00:00" count="3">
        <d v="2025-01-01T00:00:00"/>
        <d v="2025-01-02T00:00:00"/>
        <d v="2025-01-03T00:00:00"/>
      </sharedItems>
    </cacheField>
    <cacheField name="Code" numFmtId="0">
      <sharedItems/>
    </cacheField>
    <cacheField name="Qty" numFmtId="0">
      <sharedItems containsSemiMixedTypes="0" containsString="0" containsNumber="1" minValue="4" maxValue="67.999999999999901"/>
    </cacheField>
    <cacheField name="Rate" numFmtId="0">
      <sharedItems containsSemiMixedTypes="0" containsString="0" containsNumber="1" minValue="5" maxValue="321"/>
    </cacheField>
    <cacheField name="Name " numFmtId="0">
      <sharedItems count="5">
        <s v="Pen"/>
        <s v="Notebook"/>
        <s v="Marker"/>
        <s v="Eraser"/>
        <s v="File"/>
      </sharedItems>
    </cacheField>
    <cacheField name="Category" numFmtId="0">
      <sharedItems count="2">
        <s v="Stationery"/>
        <s v="Office"/>
      </sharedItems>
    </cacheField>
    <cacheField name="Amount" numFmtId="0">
      <sharedItems containsSemiMixedTypes="0" containsString="0" containsNumber="1" minValue="5" maxValue="321"/>
    </cacheField>
    <cacheField name="Amount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s v="I101"/>
    <n v="10"/>
    <n v="10"/>
    <x v="0"/>
    <x v="0"/>
    <n v="10"/>
    <m/>
  </r>
  <r>
    <x v="0"/>
    <s v="I102"/>
    <n v="5"/>
    <n v="50"/>
    <x v="1"/>
    <x v="0"/>
    <n v="50"/>
    <m/>
  </r>
  <r>
    <x v="1"/>
    <s v="I103"/>
    <n v="7"/>
    <n v="30"/>
    <x v="2"/>
    <x v="0"/>
    <n v="30"/>
    <m/>
  </r>
  <r>
    <x v="1"/>
    <s v="I104"/>
    <n v="20"/>
    <n v="5"/>
    <x v="3"/>
    <x v="0"/>
    <n v="5"/>
    <m/>
  </r>
  <r>
    <x v="2"/>
    <s v="I105"/>
    <n v="4"/>
    <n v="40"/>
    <x v="4"/>
    <x v="1"/>
    <n v="40"/>
    <m/>
  </r>
  <r>
    <x v="0"/>
    <s v="I106"/>
    <n v="10.1"/>
    <n v="31.5"/>
    <x v="0"/>
    <x v="0"/>
    <n v="31.5"/>
    <m/>
  </r>
  <r>
    <x v="0"/>
    <s v="I107"/>
    <n v="10.4"/>
    <n v="33"/>
    <x v="1"/>
    <x v="0"/>
    <n v="33"/>
    <m/>
  </r>
  <r>
    <x v="1"/>
    <s v="I108"/>
    <n v="10.7"/>
    <n v="34.5"/>
    <x v="2"/>
    <x v="0"/>
    <n v="34.5"/>
    <m/>
  </r>
  <r>
    <x v="1"/>
    <s v="I109"/>
    <n v="11"/>
    <n v="36"/>
    <x v="3"/>
    <x v="0"/>
    <n v="36"/>
    <m/>
  </r>
  <r>
    <x v="2"/>
    <s v="I110"/>
    <n v="11.3"/>
    <n v="37.5"/>
    <x v="4"/>
    <x v="1"/>
    <n v="37.5"/>
    <m/>
  </r>
  <r>
    <x v="0"/>
    <s v="I111"/>
    <n v="11.6"/>
    <n v="39"/>
    <x v="0"/>
    <x v="0"/>
    <n v="39"/>
    <m/>
  </r>
  <r>
    <x v="0"/>
    <s v="I112"/>
    <n v="11.9"/>
    <n v="40.5"/>
    <x v="1"/>
    <x v="0"/>
    <n v="40.5"/>
    <m/>
  </r>
  <r>
    <x v="1"/>
    <s v="I113"/>
    <n v="12.2"/>
    <n v="42"/>
    <x v="2"/>
    <x v="0"/>
    <n v="42"/>
    <m/>
  </r>
  <r>
    <x v="1"/>
    <s v="I114"/>
    <n v="12.5"/>
    <n v="43.5"/>
    <x v="3"/>
    <x v="0"/>
    <n v="43.5"/>
    <m/>
  </r>
  <r>
    <x v="2"/>
    <s v="I115"/>
    <n v="12.8"/>
    <n v="45"/>
    <x v="4"/>
    <x v="1"/>
    <n v="45"/>
    <m/>
  </r>
  <r>
    <x v="0"/>
    <s v="I116"/>
    <n v="13.1"/>
    <n v="46.5"/>
    <x v="0"/>
    <x v="0"/>
    <n v="46.5"/>
    <m/>
  </r>
  <r>
    <x v="0"/>
    <s v="I117"/>
    <n v="13.4"/>
    <n v="48"/>
    <x v="1"/>
    <x v="0"/>
    <n v="48"/>
    <m/>
  </r>
  <r>
    <x v="1"/>
    <s v="I118"/>
    <n v="13.7"/>
    <n v="49.5"/>
    <x v="2"/>
    <x v="0"/>
    <n v="49.5"/>
    <m/>
  </r>
  <r>
    <x v="1"/>
    <s v="I119"/>
    <n v="14"/>
    <n v="51"/>
    <x v="3"/>
    <x v="0"/>
    <n v="51"/>
    <m/>
  </r>
  <r>
    <x v="2"/>
    <s v="I120"/>
    <n v="14.3"/>
    <n v="52.5"/>
    <x v="4"/>
    <x v="1"/>
    <n v="52.5"/>
    <m/>
  </r>
  <r>
    <x v="0"/>
    <s v="I121"/>
    <n v="14.6"/>
    <n v="54"/>
    <x v="0"/>
    <x v="0"/>
    <n v="54"/>
    <m/>
  </r>
  <r>
    <x v="0"/>
    <s v="I122"/>
    <n v="14.9"/>
    <n v="55.5"/>
    <x v="1"/>
    <x v="0"/>
    <n v="55.5"/>
    <m/>
  </r>
  <r>
    <x v="1"/>
    <s v="I123"/>
    <n v="15.2"/>
    <n v="57"/>
    <x v="2"/>
    <x v="0"/>
    <n v="57"/>
    <m/>
  </r>
  <r>
    <x v="1"/>
    <s v="I124"/>
    <n v="15.5"/>
    <n v="58.5"/>
    <x v="3"/>
    <x v="0"/>
    <n v="58.5"/>
    <m/>
  </r>
  <r>
    <x v="2"/>
    <s v="I125"/>
    <n v="15.8"/>
    <n v="60"/>
    <x v="4"/>
    <x v="1"/>
    <n v="60"/>
    <m/>
  </r>
  <r>
    <x v="0"/>
    <s v="I126"/>
    <n v="16.100000000000001"/>
    <n v="61.5"/>
    <x v="0"/>
    <x v="0"/>
    <n v="61.5"/>
    <m/>
  </r>
  <r>
    <x v="0"/>
    <s v="I127"/>
    <n v="16.399999999999999"/>
    <n v="63"/>
    <x v="1"/>
    <x v="0"/>
    <n v="63"/>
    <m/>
  </r>
  <r>
    <x v="1"/>
    <s v="I128"/>
    <n v="16.7"/>
    <n v="64.5"/>
    <x v="2"/>
    <x v="0"/>
    <n v="64.5"/>
    <m/>
  </r>
  <r>
    <x v="1"/>
    <s v="I129"/>
    <n v="17"/>
    <n v="66"/>
    <x v="3"/>
    <x v="0"/>
    <n v="66"/>
    <m/>
  </r>
  <r>
    <x v="2"/>
    <s v="I130"/>
    <n v="17.3"/>
    <n v="67.5"/>
    <x v="4"/>
    <x v="1"/>
    <n v="67.5"/>
    <m/>
  </r>
  <r>
    <x v="0"/>
    <s v="I131"/>
    <n v="17.600000000000001"/>
    <n v="69"/>
    <x v="0"/>
    <x v="0"/>
    <n v="69"/>
    <m/>
  </r>
  <r>
    <x v="0"/>
    <s v="I132"/>
    <n v="17.899999999999999"/>
    <n v="70.5"/>
    <x v="1"/>
    <x v="0"/>
    <n v="70.5"/>
    <m/>
  </r>
  <r>
    <x v="1"/>
    <s v="I133"/>
    <n v="18.2"/>
    <n v="72"/>
    <x v="2"/>
    <x v="0"/>
    <n v="72"/>
    <m/>
  </r>
  <r>
    <x v="1"/>
    <s v="I134"/>
    <n v="18.5"/>
    <n v="73.5"/>
    <x v="3"/>
    <x v="0"/>
    <n v="73.5"/>
    <m/>
  </r>
  <r>
    <x v="2"/>
    <s v="I135"/>
    <n v="18.8"/>
    <n v="75"/>
    <x v="4"/>
    <x v="1"/>
    <n v="75"/>
    <m/>
  </r>
  <r>
    <x v="0"/>
    <s v="I136"/>
    <n v="19.100000000000001"/>
    <n v="76.5"/>
    <x v="0"/>
    <x v="0"/>
    <n v="76.5"/>
    <m/>
  </r>
  <r>
    <x v="0"/>
    <s v="I137"/>
    <n v="19.399999999999999"/>
    <n v="78"/>
    <x v="1"/>
    <x v="0"/>
    <n v="78"/>
    <m/>
  </r>
  <r>
    <x v="1"/>
    <s v="I138"/>
    <n v="19.7"/>
    <n v="79.5"/>
    <x v="2"/>
    <x v="0"/>
    <n v="79.5"/>
    <m/>
  </r>
  <r>
    <x v="1"/>
    <s v="I139"/>
    <n v="20"/>
    <n v="81"/>
    <x v="3"/>
    <x v="0"/>
    <n v="81"/>
    <m/>
  </r>
  <r>
    <x v="2"/>
    <s v="I140"/>
    <n v="20.3"/>
    <n v="82.5"/>
    <x v="4"/>
    <x v="1"/>
    <n v="82.5"/>
    <m/>
  </r>
  <r>
    <x v="0"/>
    <s v="I141"/>
    <n v="20.6"/>
    <n v="84"/>
    <x v="0"/>
    <x v="0"/>
    <n v="84"/>
    <m/>
  </r>
  <r>
    <x v="0"/>
    <s v="I142"/>
    <n v="20.9"/>
    <n v="85.5"/>
    <x v="1"/>
    <x v="0"/>
    <n v="85.5"/>
    <m/>
  </r>
  <r>
    <x v="1"/>
    <s v="I143"/>
    <n v="21.2"/>
    <n v="87"/>
    <x v="2"/>
    <x v="0"/>
    <n v="87"/>
    <m/>
  </r>
  <r>
    <x v="1"/>
    <s v="I144"/>
    <n v="21.5"/>
    <n v="88.5"/>
    <x v="3"/>
    <x v="0"/>
    <n v="88.5"/>
    <m/>
  </r>
  <r>
    <x v="2"/>
    <s v="I145"/>
    <n v="21.8"/>
    <n v="90"/>
    <x v="4"/>
    <x v="1"/>
    <n v="90"/>
    <m/>
  </r>
  <r>
    <x v="0"/>
    <s v="I146"/>
    <n v="22.1"/>
    <n v="91.5"/>
    <x v="0"/>
    <x v="0"/>
    <n v="91.5"/>
    <m/>
  </r>
  <r>
    <x v="0"/>
    <s v="I147"/>
    <n v="22.4"/>
    <n v="93"/>
    <x v="1"/>
    <x v="0"/>
    <n v="93"/>
    <m/>
  </r>
  <r>
    <x v="1"/>
    <s v="I148"/>
    <n v="22.7"/>
    <n v="94.5"/>
    <x v="2"/>
    <x v="0"/>
    <n v="94.5"/>
    <m/>
  </r>
  <r>
    <x v="1"/>
    <s v="I149"/>
    <n v="23"/>
    <n v="96"/>
    <x v="3"/>
    <x v="0"/>
    <n v="96"/>
    <m/>
  </r>
  <r>
    <x v="2"/>
    <s v="I150"/>
    <n v="23.3"/>
    <n v="97.5"/>
    <x v="4"/>
    <x v="1"/>
    <n v="97.5"/>
    <m/>
  </r>
  <r>
    <x v="0"/>
    <s v="I151"/>
    <n v="23.6"/>
    <n v="99"/>
    <x v="0"/>
    <x v="0"/>
    <n v="99"/>
    <m/>
  </r>
  <r>
    <x v="0"/>
    <s v="I152"/>
    <n v="23.9"/>
    <n v="100.5"/>
    <x v="1"/>
    <x v="0"/>
    <n v="100.5"/>
    <m/>
  </r>
  <r>
    <x v="1"/>
    <s v="I153"/>
    <n v="24.2"/>
    <n v="102"/>
    <x v="2"/>
    <x v="0"/>
    <n v="102"/>
    <m/>
  </r>
  <r>
    <x v="1"/>
    <s v="I154"/>
    <n v="24.5"/>
    <n v="103.5"/>
    <x v="3"/>
    <x v="0"/>
    <n v="103.5"/>
    <m/>
  </r>
  <r>
    <x v="2"/>
    <s v="I155"/>
    <n v="24.8"/>
    <n v="105"/>
    <x v="4"/>
    <x v="1"/>
    <n v="105"/>
    <m/>
  </r>
  <r>
    <x v="0"/>
    <s v="I156"/>
    <n v="25.1"/>
    <n v="106.5"/>
    <x v="0"/>
    <x v="0"/>
    <n v="106.5"/>
    <m/>
  </r>
  <r>
    <x v="0"/>
    <s v="I157"/>
    <n v="25.4"/>
    <n v="108"/>
    <x v="1"/>
    <x v="0"/>
    <n v="108"/>
    <m/>
  </r>
  <r>
    <x v="1"/>
    <s v="I158"/>
    <n v="25.7"/>
    <n v="109.5"/>
    <x v="2"/>
    <x v="0"/>
    <n v="109.5"/>
    <m/>
  </r>
  <r>
    <x v="1"/>
    <s v="I159"/>
    <n v="26"/>
    <n v="111"/>
    <x v="3"/>
    <x v="0"/>
    <n v="111"/>
    <m/>
  </r>
  <r>
    <x v="2"/>
    <s v="I160"/>
    <n v="26.3"/>
    <n v="112.5"/>
    <x v="4"/>
    <x v="1"/>
    <n v="112.5"/>
    <m/>
  </r>
  <r>
    <x v="0"/>
    <s v="I161"/>
    <n v="26.6"/>
    <n v="114"/>
    <x v="0"/>
    <x v="0"/>
    <n v="114"/>
    <m/>
  </r>
  <r>
    <x v="0"/>
    <s v="I162"/>
    <n v="26.9"/>
    <n v="115.5"/>
    <x v="1"/>
    <x v="0"/>
    <n v="115.5"/>
    <m/>
  </r>
  <r>
    <x v="1"/>
    <s v="I163"/>
    <n v="27.2"/>
    <n v="117"/>
    <x v="2"/>
    <x v="0"/>
    <n v="117"/>
    <m/>
  </r>
  <r>
    <x v="1"/>
    <s v="I164"/>
    <n v="27.5"/>
    <n v="118.5"/>
    <x v="3"/>
    <x v="0"/>
    <n v="118.5"/>
    <m/>
  </r>
  <r>
    <x v="2"/>
    <s v="I165"/>
    <n v="27.8"/>
    <n v="120"/>
    <x v="4"/>
    <x v="1"/>
    <n v="120"/>
    <m/>
  </r>
  <r>
    <x v="0"/>
    <s v="I166"/>
    <n v="28.1"/>
    <n v="121.5"/>
    <x v="0"/>
    <x v="0"/>
    <n v="121.5"/>
    <m/>
  </r>
  <r>
    <x v="0"/>
    <s v="I167"/>
    <n v="28.4"/>
    <n v="123"/>
    <x v="1"/>
    <x v="0"/>
    <n v="123"/>
    <m/>
  </r>
  <r>
    <x v="1"/>
    <s v="I168"/>
    <n v="28.7"/>
    <n v="124.5"/>
    <x v="2"/>
    <x v="0"/>
    <n v="124.5"/>
    <m/>
  </r>
  <r>
    <x v="1"/>
    <s v="I169"/>
    <n v="29"/>
    <n v="126"/>
    <x v="3"/>
    <x v="0"/>
    <n v="126"/>
    <m/>
  </r>
  <r>
    <x v="2"/>
    <s v="I170"/>
    <n v="29.3"/>
    <n v="127.5"/>
    <x v="4"/>
    <x v="1"/>
    <n v="127.5"/>
    <m/>
  </r>
  <r>
    <x v="0"/>
    <s v="I171"/>
    <n v="29.6"/>
    <n v="129"/>
    <x v="0"/>
    <x v="0"/>
    <n v="129"/>
    <m/>
  </r>
  <r>
    <x v="0"/>
    <s v="I172"/>
    <n v="29.9"/>
    <n v="130.5"/>
    <x v="1"/>
    <x v="0"/>
    <n v="130.5"/>
    <m/>
  </r>
  <r>
    <x v="1"/>
    <s v="I173"/>
    <n v="30.2"/>
    <n v="132"/>
    <x v="2"/>
    <x v="0"/>
    <n v="132"/>
    <m/>
  </r>
  <r>
    <x v="1"/>
    <s v="I174"/>
    <n v="30.5"/>
    <n v="133.5"/>
    <x v="3"/>
    <x v="0"/>
    <n v="133.5"/>
    <m/>
  </r>
  <r>
    <x v="2"/>
    <s v="I175"/>
    <n v="30.8"/>
    <n v="135"/>
    <x v="4"/>
    <x v="1"/>
    <n v="135"/>
    <m/>
  </r>
  <r>
    <x v="0"/>
    <s v="I176"/>
    <n v="31.1"/>
    <n v="136.5"/>
    <x v="0"/>
    <x v="0"/>
    <n v="136.5"/>
    <m/>
  </r>
  <r>
    <x v="0"/>
    <s v="I177"/>
    <n v="31.4"/>
    <n v="138"/>
    <x v="1"/>
    <x v="0"/>
    <n v="138"/>
    <m/>
  </r>
  <r>
    <x v="1"/>
    <s v="I178"/>
    <n v="31.7"/>
    <n v="139.5"/>
    <x v="2"/>
    <x v="0"/>
    <n v="139.5"/>
    <m/>
  </r>
  <r>
    <x v="1"/>
    <s v="I179"/>
    <n v="32"/>
    <n v="141"/>
    <x v="3"/>
    <x v="0"/>
    <n v="141"/>
    <m/>
  </r>
  <r>
    <x v="2"/>
    <s v="I180"/>
    <n v="32.299999999999997"/>
    <n v="142.5"/>
    <x v="4"/>
    <x v="1"/>
    <n v="142.5"/>
    <m/>
  </r>
  <r>
    <x v="0"/>
    <s v="I181"/>
    <n v="32.6"/>
    <n v="144"/>
    <x v="0"/>
    <x v="0"/>
    <n v="144"/>
    <m/>
  </r>
  <r>
    <x v="0"/>
    <s v="I182"/>
    <n v="32.9"/>
    <n v="145.5"/>
    <x v="1"/>
    <x v="0"/>
    <n v="145.5"/>
    <m/>
  </r>
  <r>
    <x v="1"/>
    <s v="I183"/>
    <n v="33.200000000000003"/>
    <n v="147"/>
    <x v="2"/>
    <x v="0"/>
    <n v="147"/>
    <m/>
  </r>
  <r>
    <x v="1"/>
    <s v="I184"/>
    <n v="33.5"/>
    <n v="148.5"/>
    <x v="3"/>
    <x v="0"/>
    <n v="148.5"/>
    <m/>
  </r>
  <r>
    <x v="2"/>
    <s v="I185"/>
    <n v="33.799999999999997"/>
    <n v="150"/>
    <x v="4"/>
    <x v="1"/>
    <n v="150"/>
    <m/>
  </r>
  <r>
    <x v="0"/>
    <s v="I186"/>
    <n v="34.1"/>
    <n v="151.5"/>
    <x v="0"/>
    <x v="0"/>
    <n v="151.5"/>
    <m/>
  </r>
  <r>
    <x v="0"/>
    <s v="I187"/>
    <n v="34.4"/>
    <n v="153"/>
    <x v="1"/>
    <x v="0"/>
    <n v="153"/>
    <m/>
  </r>
  <r>
    <x v="1"/>
    <s v="I188"/>
    <n v="34.700000000000003"/>
    <n v="154.5"/>
    <x v="2"/>
    <x v="0"/>
    <n v="154.5"/>
    <m/>
  </r>
  <r>
    <x v="1"/>
    <s v="I189"/>
    <n v="35"/>
    <n v="156"/>
    <x v="3"/>
    <x v="0"/>
    <n v="156"/>
    <m/>
  </r>
  <r>
    <x v="2"/>
    <s v="I190"/>
    <n v="35.299999999999997"/>
    <n v="157.5"/>
    <x v="4"/>
    <x v="1"/>
    <n v="157.5"/>
    <m/>
  </r>
  <r>
    <x v="0"/>
    <s v="I191"/>
    <n v="35.6"/>
    <n v="159"/>
    <x v="0"/>
    <x v="0"/>
    <n v="159"/>
    <m/>
  </r>
  <r>
    <x v="0"/>
    <s v="I192"/>
    <n v="35.9"/>
    <n v="160.5"/>
    <x v="1"/>
    <x v="0"/>
    <n v="160.5"/>
    <m/>
  </r>
  <r>
    <x v="1"/>
    <s v="I193"/>
    <n v="36.200000000000003"/>
    <n v="162"/>
    <x v="2"/>
    <x v="0"/>
    <n v="162"/>
    <m/>
  </r>
  <r>
    <x v="1"/>
    <s v="I194"/>
    <n v="36.5"/>
    <n v="163.5"/>
    <x v="3"/>
    <x v="0"/>
    <n v="163.5"/>
    <m/>
  </r>
  <r>
    <x v="2"/>
    <s v="I195"/>
    <n v="36.799999999999997"/>
    <n v="165"/>
    <x v="4"/>
    <x v="1"/>
    <n v="165"/>
    <m/>
  </r>
  <r>
    <x v="0"/>
    <s v="I196"/>
    <n v="37.1"/>
    <n v="166.5"/>
    <x v="0"/>
    <x v="0"/>
    <n v="166.5"/>
    <m/>
  </r>
  <r>
    <x v="0"/>
    <s v="I197"/>
    <n v="37.4"/>
    <n v="168"/>
    <x v="1"/>
    <x v="0"/>
    <n v="168"/>
    <m/>
  </r>
  <r>
    <x v="1"/>
    <s v="I198"/>
    <n v="37.700000000000003"/>
    <n v="169.5"/>
    <x v="2"/>
    <x v="0"/>
    <n v="169.5"/>
    <m/>
  </r>
  <r>
    <x v="1"/>
    <s v="I199"/>
    <n v="37.999999999999901"/>
    <n v="171"/>
    <x v="3"/>
    <x v="0"/>
    <n v="171"/>
    <m/>
  </r>
  <r>
    <x v="2"/>
    <s v="I200"/>
    <n v="38.299999999999898"/>
    <n v="172.5"/>
    <x v="4"/>
    <x v="1"/>
    <n v="172.5"/>
    <m/>
  </r>
  <r>
    <x v="0"/>
    <s v="I201"/>
    <n v="38.6"/>
    <n v="174"/>
    <x v="0"/>
    <x v="0"/>
    <n v="174"/>
    <m/>
  </r>
  <r>
    <x v="0"/>
    <s v="I202"/>
    <n v="38.899999999999899"/>
    <n v="175.5"/>
    <x v="1"/>
    <x v="0"/>
    <n v="175.5"/>
    <m/>
  </r>
  <r>
    <x v="1"/>
    <s v="I203"/>
    <n v="39.199999999999903"/>
    <n v="177"/>
    <x v="2"/>
    <x v="0"/>
    <n v="177"/>
    <m/>
  </r>
  <r>
    <x v="1"/>
    <s v="I204"/>
    <n v="39.499999999999901"/>
    <n v="178.5"/>
    <x v="3"/>
    <x v="0"/>
    <n v="178.5"/>
    <m/>
  </r>
  <r>
    <x v="2"/>
    <s v="I205"/>
    <n v="39.799999999999898"/>
    <n v="180"/>
    <x v="4"/>
    <x v="1"/>
    <n v="180"/>
    <m/>
  </r>
  <r>
    <x v="0"/>
    <s v="I206"/>
    <n v="40.099999999999902"/>
    <n v="181.5"/>
    <x v="0"/>
    <x v="0"/>
    <n v="181.5"/>
    <m/>
  </r>
  <r>
    <x v="0"/>
    <s v="I207"/>
    <n v="40.399999999999899"/>
    <n v="183"/>
    <x v="1"/>
    <x v="0"/>
    <n v="183"/>
    <m/>
  </r>
  <r>
    <x v="1"/>
    <s v="I208"/>
    <n v="40.699999999999903"/>
    <n v="184.5"/>
    <x v="2"/>
    <x v="0"/>
    <n v="184.5"/>
    <m/>
  </r>
  <r>
    <x v="1"/>
    <s v="I209"/>
    <n v="40.999999999999901"/>
    <n v="186"/>
    <x v="3"/>
    <x v="0"/>
    <n v="186"/>
    <m/>
  </r>
  <r>
    <x v="2"/>
    <s v="I210"/>
    <n v="41.299999999999898"/>
    <n v="187.5"/>
    <x v="4"/>
    <x v="1"/>
    <n v="187.5"/>
    <m/>
  </r>
  <r>
    <x v="0"/>
    <s v="I211"/>
    <n v="41.599999999999902"/>
    <n v="189"/>
    <x v="0"/>
    <x v="0"/>
    <n v="189"/>
    <m/>
  </r>
  <r>
    <x v="0"/>
    <s v="I212"/>
    <n v="41.899999999999899"/>
    <n v="190.5"/>
    <x v="1"/>
    <x v="0"/>
    <n v="190.5"/>
    <m/>
  </r>
  <r>
    <x v="1"/>
    <s v="I213"/>
    <n v="42.199999999999903"/>
    <n v="192"/>
    <x v="2"/>
    <x v="0"/>
    <n v="192"/>
    <m/>
  </r>
  <r>
    <x v="1"/>
    <s v="I214"/>
    <n v="42.499999999999901"/>
    <n v="193.5"/>
    <x v="3"/>
    <x v="0"/>
    <n v="193.5"/>
    <m/>
  </r>
  <r>
    <x v="2"/>
    <s v="I215"/>
    <n v="42.799999999999898"/>
    <n v="195"/>
    <x v="4"/>
    <x v="1"/>
    <n v="195"/>
    <m/>
  </r>
  <r>
    <x v="0"/>
    <s v="I216"/>
    <n v="43.099999999999902"/>
    <n v="196.5"/>
    <x v="0"/>
    <x v="0"/>
    <n v="196.5"/>
    <m/>
  </r>
  <r>
    <x v="0"/>
    <s v="I217"/>
    <n v="43.399999999999899"/>
    <n v="198"/>
    <x v="1"/>
    <x v="0"/>
    <n v="198"/>
    <m/>
  </r>
  <r>
    <x v="1"/>
    <s v="I218"/>
    <n v="43.699999999999903"/>
    <n v="199.5"/>
    <x v="2"/>
    <x v="0"/>
    <n v="199.5"/>
    <m/>
  </r>
  <r>
    <x v="1"/>
    <s v="I219"/>
    <n v="43.999999999999901"/>
    <n v="201"/>
    <x v="3"/>
    <x v="0"/>
    <n v="201"/>
    <m/>
  </r>
  <r>
    <x v="2"/>
    <s v="I220"/>
    <n v="44.299999999999898"/>
    <n v="202.5"/>
    <x v="4"/>
    <x v="1"/>
    <n v="202.5"/>
    <m/>
  </r>
  <r>
    <x v="0"/>
    <s v="I221"/>
    <n v="44.599999999999902"/>
    <n v="204"/>
    <x v="0"/>
    <x v="0"/>
    <n v="204"/>
    <m/>
  </r>
  <r>
    <x v="0"/>
    <s v="I222"/>
    <n v="44.899999999999899"/>
    <n v="205.5"/>
    <x v="1"/>
    <x v="0"/>
    <n v="205.5"/>
    <m/>
  </r>
  <r>
    <x v="1"/>
    <s v="I223"/>
    <n v="45.199999999999903"/>
    <n v="207"/>
    <x v="2"/>
    <x v="0"/>
    <n v="207"/>
    <m/>
  </r>
  <r>
    <x v="1"/>
    <s v="I224"/>
    <n v="45.499999999999901"/>
    <n v="208.5"/>
    <x v="3"/>
    <x v="0"/>
    <n v="208.5"/>
    <m/>
  </r>
  <r>
    <x v="2"/>
    <s v="I225"/>
    <n v="45.799999999999898"/>
    <n v="210"/>
    <x v="4"/>
    <x v="1"/>
    <n v="210"/>
    <m/>
  </r>
  <r>
    <x v="0"/>
    <s v="I226"/>
    <n v="46.099999999999902"/>
    <n v="211.5"/>
    <x v="0"/>
    <x v="0"/>
    <n v="211.5"/>
    <m/>
  </r>
  <r>
    <x v="0"/>
    <s v="I227"/>
    <n v="46.399999999999899"/>
    <n v="213"/>
    <x v="1"/>
    <x v="0"/>
    <n v="213"/>
    <m/>
  </r>
  <r>
    <x v="1"/>
    <s v="I228"/>
    <n v="46.699999999999903"/>
    <n v="214.5"/>
    <x v="2"/>
    <x v="0"/>
    <n v="214.5"/>
    <m/>
  </r>
  <r>
    <x v="1"/>
    <s v="I229"/>
    <n v="46.999999999999901"/>
    <n v="216"/>
    <x v="3"/>
    <x v="0"/>
    <n v="216"/>
    <m/>
  </r>
  <r>
    <x v="2"/>
    <s v="I230"/>
    <n v="47.299999999999898"/>
    <n v="217.5"/>
    <x v="4"/>
    <x v="1"/>
    <n v="217.5"/>
    <m/>
  </r>
  <r>
    <x v="0"/>
    <s v="I231"/>
    <n v="47.599999999999902"/>
    <n v="219"/>
    <x v="0"/>
    <x v="0"/>
    <n v="219"/>
    <m/>
  </r>
  <r>
    <x v="0"/>
    <s v="I232"/>
    <n v="47.899999999999899"/>
    <n v="220.5"/>
    <x v="1"/>
    <x v="0"/>
    <n v="220.5"/>
    <m/>
  </r>
  <r>
    <x v="1"/>
    <s v="I233"/>
    <n v="48.199999999999903"/>
    <n v="222"/>
    <x v="2"/>
    <x v="0"/>
    <n v="222"/>
    <m/>
  </r>
  <r>
    <x v="1"/>
    <s v="I234"/>
    <n v="48.499999999999901"/>
    <n v="223.5"/>
    <x v="3"/>
    <x v="0"/>
    <n v="223.5"/>
    <m/>
  </r>
  <r>
    <x v="2"/>
    <s v="I235"/>
    <n v="48.799999999999898"/>
    <n v="225"/>
    <x v="4"/>
    <x v="1"/>
    <n v="225"/>
    <m/>
  </r>
  <r>
    <x v="0"/>
    <s v="I236"/>
    <n v="49.099999999999902"/>
    <n v="226.5"/>
    <x v="0"/>
    <x v="0"/>
    <n v="226.5"/>
    <m/>
  </r>
  <r>
    <x v="0"/>
    <s v="I237"/>
    <n v="49.399999999999899"/>
    <n v="228"/>
    <x v="1"/>
    <x v="0"/>
    <n v="228"/>
    <m/>
  </r>
  <r>
    <x v="1"/>
    <s v="I238"/>
    <n v="49.699999999999903"/>
    <n v="229.5"/>
    <x v="2"/>
    <x v="0"/>
    <n v="229.5"/>
    <m/>
  </r>
  <r>
    <x v="1"/>
    <s v="I239"/>
    <n v="49.999999999999901"/>
    <n v="231"/>
    <x v="3"/>
    <x v="0"/>
    <n v="231"/>
    <m/>
  </r>
  <r>
    <x v="2"/>
    <s v="I240"/>
    <n v="50.299999999999898"/>
    <n v="232.5"/>
    <x v="4"/>
    <x v="1"/>
    <n v="232.5"/>
    <m/>
  </r>
  <r>
    <x v="0"/>
    <s v="I241"/>
    <n v="50.599999999999902"/>
    <n v="234"/>
    <x v="0"/>
    <x v="0"/>
    <n v="234"/>
    <m/>
  </r>
  <r>
    <x v="0"/>
    <s v="I242"/>
    <n v="50.899999999999899"/>
    <n v="235.5"/>
    <x v="1"/>
    <x v="0"/>
    <n v="235.5"/>
    <m/>
  </r>
  <r>
    <x v="1"/>
    <s v="I243"/>
    <n v="51.199999999999903"/>
    <n v="237"/>
    <x v="2"/>
    <x v="0"/>
    <n v="237"/>
    <m/>
  </r>
  <r>
    <x v="1"/>
    <s v="I244"/>
    <n v="51.499999999999901"/>
    <n v="238.5"/>
    <x v="3"/>
    <x v="0"/>
    <n v="238.5"/>
    <m/>
  </r>
  <r>
    <x v="2"/>
    <s v="I245"/>
    <n v="51.799999999999898"/>
    <n v="240"/>
    <x v="4"/>
    <x v="1"/>
    <n v="240"/>
    <m/>
  </r>
  <r>
    <x v="0"/>
    <s v="I246"/>
    <n v="52.099999999999902"/>
    <n v="241.5"/>
    <x v="0"/>
    <x v="0"/>
    <n v="241.5"/>
    <m/>
  </r>
  <r>
    <x v="0"/>
    <s v="I247"/>
    <n v="52.399999999999899"/>
    <n v="243"/>
    <x v="1"/>
    <x v="0"/>
    <n v="243"/>
    <m/>
  </r>
  <r>
    <x v="1"/>
    <s v="I248"/>
    <n v="52.699999999999903"/>
    <n v="244.5"/>
    <x v="2"/>
    <x v="0"/>
    <n v="244.5"/>
    <m/>
  </r>
  <r>
    <x v="1"/>
    <s v="I249"/>
    <n v="52.999999999999901"/>
    <n v="246"/>
    <x v="3"/>
    <x v="0"/>
    <n v="246"/>
    <m/>
  </r>
  <r>
    <x v="2"/>
    <s v="I250"/>
    <n v="53.299999999999898"/>
    <n v="247.5"/>
    <x v="4"/>
    <x v="1"/>
    <n v="247.5"/>
    <m/>
  </r>
  <r>
    <x v="0"/>
    <s v="I251"/>
    <n v="53.599999999999902"/>
    <n v="249"/>
    <x v="0"/>
    <x v="0"/>
    <n v="249"/>
    <m/>
  </r>
  <r>
    <x v="0"/>
    <s v="I252"/>
    <n v="53.899999999999899"/>
    <n v="250.5"/>
    <x v="1"/>
    <x v="0"/>
    <n v="250.5"/>
    <m/>
  </r>
  <r>
    <x v="1"/>
    <s v="I253"/>
    <n v="54.199999999999903"/>
    <n v="252"/>
    <x v="2"/>
    <x v="0"/>
    <n v="252"/>
    <m/>
  </r>
  <r>
    <x v="1"/>
    <s v="I254"/>
    <n v="54.499999999999901"/>
    <n v="253.5"/>
    <x v="3"/>
    <x v="0"/>
    <n v="253.5"/>
    <m/>
  </r>
  <r>
    <x v="2"/>
    <s v="I255"/>
    <n v="54.799999999999898"/>
    <n v="255"/>
    <x v="4"/>
    <x v="1"/>
    <n v="255"/>
    <m/>
  </r>
  <r>
    <x v="0"/>
    <s v="I256"/>
    <n v="55.099999999999902"/>
    <n v="256.5"/>
    <x v="0"/>
    <x v="0"/>
    <n v="256.5"/>
    <m/>
  </r>
  <r>
    <x v="0"/>
    <s v="I257"/>
    <n v="55.399999999999899"/>
    <n v="258"/>
    <x v="1"/>
    <x v="0"/>
    <n v="258"/>
    <m/>
  </r>
  <r>
    <x v="1"/>
    <s v="I258"/>
    <n v="55.699999999999903"/>
    <n v="259.5"/>
    <x v="2"/>
    <x v="0"/>
    <n v="259.5"/>
    <m/>
  </r>
  <r>
    <x v="1"/>
    <s v="I259"/>
    <n v="55.999999999999901"/>
    <n v="261"/>
    <x v="3"/>
    <x v="0"/>
    <n v="261"/>
    <m/>
  </r>
  <r>
    <x v="2"/>
    <s v="I260"/>
    <n v="56.299999999999898"/>
    <n v="262.5"/>
    <x v="4"/>
    <x v="1"/>
    <n v="262.5"/>
    <m/>
  </r>
  <r>
    <x v="0"/>
    <s v="I261"/>
    <n v="56.599999999999902"/>
    <n v="264"/>
    <x v="0"/>
    <x v="0"/>
    <n v="264"/>
    <m/>
  </r>
  <r>
    <x v="0"/>
    <s v="I262"/>
    <n v="56.899999999999899"/>
    <n v="265.5"/>
    <x v="1"/>
    <x v="0"/>
    <n v="265.5"/>
    <m/>
  </r>
  <r>
    <x v="1"/>
    <s v="I263"/>
    <n v="57.199999999999903"/>
    <n v="267"/>
    <x v="2"/>
    <x v="0"/>
    <n v="267"/>
    <m/>
  </r>
  <r>
    <x v="1"/>
    <s v="I264"/>
    <n v="57.499999999999901"/>
    <n v="268.5"/>
    <x v="3"/>
    <x v="0"/>
    <n v="268.5"/>
    <m/>
  </r>
  <r>
    <x v="2"/>
    <s v="I265"/>
    <n v="57.799999999999898"/>
    <n v="270"/>
    <x v="4"/>
    <x v="1"/>
    <n v="270"/>
    <m/>
  </r>
  <r>
    <x v="0"/>
    <s v="I266"/>
    <n v="58.099999999999902"/>
    <n v="271.5"/>
    <x v="0"/>
    <x v="0"/>
    <n v="271.5"/>
    <m/>
  </r>
  <r>
    <x v="0"/>
    <s v="I267"/>
    <n v="58.399999999999899"/>
    <n v="273"/>
    <x v="1"/>
    <x v="0"/>
    <n v="273"/>
    <m/>
  </r>
  <r>
    <x v="1"/>
    <s v="I268"/>
    <n v="58.699999999999903"/>
    <n v="274.5"/>
    <x v="2"/>
    <x v="0"/>
    <n v="274.5"/>
    <m/>
  </r>
  <r>
    <x v="1"/>
    <s v="I269"/>
    <n v="58.999999999999901"/>
    <n v="276"/>
    <x v="3"/>
    <x v="0"/>
    <n v="276"/>
    <m/>
  </r>
  <r>
    <x v="2"/>
    <s v="I270"/>
    <n v="59.299999999999898"/>
    <n v="277.5"/>
    <x v="4"/>
    <x v="1"/>
    <n v="277.5"/>
    <m/>
  </r>
  <r>
    <x v="0"/>
    <s v="I271"/>
    <n v="59.599999999999902"/>
    <n v="279"/>
    <x v="0"/>
    <x v="0"/>
    <n v="279"/>
    <m/>
  </r>
  <r>
    <x v="0"/>
    <s v="I272"/>
    <n v="59.899999999999899"/>
    <n v="280.5"/>
    <x v="1"/>
    <x v="0"/>
    <n v="280.5"/>
    <m/>
  </r>
  <r>
    <x v="1"/>
    <s v="I273"/>
    <n v="60.199999999999903"/>
    <n v="282"/>
    <x v="2"/>
    <x v="0"/>
    <n v="282"/>
    <m/>
  </r>
  <r>
    <x v="1"/>
    <s v="I274"/>
    <n v="60.499999999999901"/>
    <n v="283.5"/>
    <x v="3"/>
    <x v="0"/>
    <n v="283.5"/>
    <m/>
  </r>
  <r>
    <x v="2"/>
    <s v="I275"/>
    <n v="60.799999999999898"/>
    <n v="285"/>
    <x v="4"/>
    <x v="1"/>
    <n v="285"/>
    <m/>
  </r>
  <r>
    <x v="0"/>
    <s v="I276"/>
    <n v="61.099999999999902"/>
    <n v="286.5"/>
    <x v="0"/>
    <x v="0"/>
    <n v="286.5"/>
    <m/>
  </r>
  <r>
    <x v="0"/>
    <s v="I277"/>
    <n v="61.399999999999899"/>
    <n v="288"/>
    <x v="1"/>
    <x v="0"/>
    <n v="288"/>
    <m/>
  </r>
  <r>
    <x v="1"/>
    <s v="I278"/>
    <n v="61.699999999999903"/>
    <n v="289.5"/>
    <x v="2"/>
    <x v="0"/>
    <n v="289.5"/>
    <m/>
  </r>
  <r>
    <x v="1"/>
    <s v="I279"/>
    <n v="61.999999999999901"/>
    <n v="291"/>
    <x v="3"/>
    <x v="0"/>
    <n v="291"/>
    <m/>
  </r>
  <r>
    <x v="2"/>
    <s v="I280"/>
    <n v="62.299999999999898"/>
    <n v="292.5"/>
    <x v="4"/>
    <x v="1"/>
    <n v="292.5"/>
    <m/>
  </r>
  <r>
    <x v="0"/>
    <s v="I281"/>
    <n v="62.599999999999902"/>
    <n v="294"/>
    <x v="0"/>
    <x v="0"/>
    <n v="294"/>
    <m/>
  </r>
  <r>
    <x v="0"/>
    <s v="I282"/>
    <n v="62.899999999999899"/>
    <n v="295.5"/>
    <x v="1"/>
    <x v="0"/>
    <n v="295.5"/>
    <m/>
  </r>
  <r>
    <x v="1"/>
    <s v="I283"/>
    <n v="63.199999999999903"/>
    <n v="297"/>
    <x v="2"/>
    <x v="0"/>
    <n v="297"/>
    <m/>
  </r>
  <r>
    <x v="1"/>
    <s v="I284"/>
    <n v="63.499999999999901"/>
    <n v="298.5"/>
    <x v="3"/>
    <x v="0"/>
    <n v="298.5"/>
    <m/>
  </r>
  <r>
    <x v="2"/>
    <s v="I285"/>
    <n v="63.799999999999898"/>
    <n v="300"/>
    <x v="4"/>
    <x v="1"/>
    <n v="300"/>
    <m/>
  </r>
  <r>
    <x v="0"/>
    <s v="I286"/>
    <n v="64.099999999999895"/>
    <n v="301.5"/>
    <x v="0"/>
    <x v="0"/>
    <n v="301.5"/>
    <m/>
  </r>
  <r>
    <x v="0"/>
    <s v="I287"/>
    <n v="64.399999999999906"/>
    <n v="303"/>
    <x v="1"/>
    <x v="0"/>
    <n v="303"/>
    <m/>
  </r>
  <r>
    <x v="1"/>
    <s v="I288"/>
    <n v="64.699999999999903"/>
    <n v="304.5"/>
    <x v="2"/>
    <x v="0"/>
    <n v="304.5"/>
    <m/>
  </r>
  <r>
    <x v="1"/>
    <s v="I289"/>
    <n v="64.999999999999901"/>
    <n v="306"/>
    <x v="3"/>
    <x v="0"/>
    <n v="306"/>
    <m/>
  </r>
  <r>
    <x v="2"/>
    <s v="I290"/>
    <n v="65.299999999999898"/>
    <n v="307.5"/>
    <x v="4"/>
    <x v="1"/>
    <n v="307.5"/>
    <m/>
  </r>
  <r>
    <x v="0"/>
    <s v="I291"/>
    <n v="65.599999999999895"/>
    <n v="309"/>
    <x v="0"/>
    <x v="0"/>
    <n v="309"/>
    <m/>
  </r>
  <r>
    <x v="0"/>
    <s v="I292"/>
    <n v="65.899999999999906"/>
    <n v="310.5"/>
    <x v="1"/>
    <x v="0"/>
    <n v="310.5"/>
    <m/>
  </r>
  <r>
    <x v="1"/>
    <s v="I293"/>
    <n v="66.199999999999903"/>
    <n v="312"/>
    <x v="2"/>
    <x v="0"/>
    <n v="312"/>
    <m/>
  </r>
  <r>
    <x v="1"/>
    <s v="I294"/>
    <n v="66.499999999999901"/>
    <n v="313.5"/>
    <x v="3"/>
    <x v="0"/>
    <n v="313.5"/>
    <m/>
  </r>
  <r>
    <x v="2"/>
    <s v="I295"/>
    <n v="66.799999999999898"/>
    <n v="315"/>
    <x v="4"/>
    <x v="1"/>
    <n v="315"/>
    <m/>
  </r>
  <r>
    <x v="0"/>
    <s v="I296"/>
    <n v="67.099999999999895"/>
    <n v="316.5"/>
    <x v="0"/>
    <x v="0"/>
    <n v="316.5"/>
    <m/>
  </r>
  <r>
    <x v="0"/>
    <s v="I297"/>
    <n v="67.399999999999906"/>
    <n v="318"/>
    <x v="1"/>
    <x v="0"/>
    <n v="318"/>
    <m/>
  </r>
  <r>
    <x v="1"/>
    <s v="I298"/>
    <n v="67.699999999999903"/>
    <n v="319.5"/>
    <x v="2"/>
    <x v="0"/>
    <n v="319.5"/>
    <m/>
  </r>
  <r>
    <x v="1"/>
    <s v="I299"/>
    <n v="67.999999999999901"/>
    <n v="321"/>
    <x v="3"/>
    <x v="0"/>
    <n v="32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3CCC0-34F9-4C97-869D-86E1082D3F30}" name="PivotTable1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J10" firstHeaderRow="1" firstDataRow="1" firstDataCol="1"/>
  <pivotFields count="8">
    <pivotField axis="axisRow" numFmtId="14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4F52D-D40E-4545-8424-E5586545027E}" name="PivotTable1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9" firstHeaderRow="1" firstDataRow="1" firstDataCol="1"/>
  <pivotFields count="8"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18057-748C-44B6-93E6-AF9AB239AFC8}" name="PivotTable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8">
    <pivotField numFmtId="14"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9BE48-74C2-4C9D-ACD5-33E4F6A91402}" name="PivotTable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8">
    <pivotField numFmtId="14"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Amount" fld="6" baseField="0" baseItem="0"/>
  </dataFields>
  <formats count="3"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6C1DD8-01AB-4F47-93C2-68343D4BB504}" name="Table1" displayName="Table1" ref="A1:D200" totalsRowShown="0" headerRowDxfId="21" dataDxfId="20">
  <autoFilter ref="A1:D200" xr:uid="{302AC218-D9D3-4412-A355-3B45A5EABE3E}"/>
  <tableColumns count="4">
    <tableColumn id="1" xr3:uid="{6323929B-CEC1-479F-9199-56C581D87EE3}" name="CODE" dataDxfId="19"/>
    <tableColumn id="2" xr3:uid="{0B02053C-0C11-46DE-B58F-2529E2CE10A5}" name="NAME" dataDxfId="18"/>
    <tableColumn id="3" xr3:uid="{907F7B9F-A8F5-483B-8C7B-1397EB770D76}" name="Category" dataDxfId="17"/>
    <tableColumn id="4" xr3:uid="{618721E6-105B-435A-8021-560811154816}" name="Rat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C2FFF-E3EB-44ED-BB76-9671F59D966A}" name="Table2" displayName="Table2" ref="A1:H200" totalsRowShown="0" headerRowDxfId="29">
  <tableColumns count="8">
    <tableColumn id="1" xr3:uid="{D227A663-3929-475B-AC53-9BF8A2EBF743}" name="Date" dataDxfId="28"/>
    <tableColumn id="2" xr3:uid="{F9938967-73A1-45B7-84EC-56B82EB351EF}" name="Code" dataDxfId="26"/>
    <tableColumn id="3" xr3:uid="{093782E8-5D70-4E89-8C7A-9516B2293529}" name="Qty" dataDxfId="27"/>
    <tableColumn id="4" xr3:uid="{E7181513-8E66-4E61-A27E-1E383F33FBE3}" name="Rate" dataDxfId="30"/>
    <tableColumn id="5" xr3:uid="{87FA6852-9391-48A0-B411-A6B79212339C}" name="Name " dataDxfId="25">
      <calculatedColumnFormula>VLOOKUP(Table2[[#This Row],[Code]],[1]!Table1[#All],2,FALSE)</calculatedColumnFormula>
    </tableColumn>
    <tableColumn id="6" xr3:uid="{504E994A-84F2-47B0-8F3F-591F7A499F5E}" name="Category" dataDxfId="24">
      <calculatedColumnFormula array="1">_xlfn.XLOOKUP(Table2[[#This Row],[Code]],[1]!Table1[[#All],[CODE]],[1]!Table1[[#All],[Category]])</calculatedColumnFormula>
    </tableColumn>
    <tableColumn id="7" xr3:uid="{D940797A-E5B5-4D15-80AE-10C6FD45F8CE}" name="Amount" dataDxfId="23">
      <calculatedColumnFormula array="1">_xlfn.XLOOKUP(Table2[[#This Row],[Code]],[1]!Table1[[#All],[CODE]],[1]!Table1[[#All],[Rate]])</calculatedColumnFormula>
    </tableColumn>
    <tableColumn id="8" xr3:uid="{04C48F5B-8D4F-4F5F-824E-284EAF43516E}" name="Amount2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F188-3786-467F-BA4B-2FBF8EC69DBE}">
  <dimension ref="A1:D200"/>
  <sheetViews>
    <sheetView workbookViewId="0">
      <selection activeCell="D15" sqref="D15"/>
    </sheetView>
  </sheetViews>
  <sheetFormatPr defaultRowHeight="14.4" x14ac:dyDescent="0.3"/>
  <cols>
    <col min="3" max="3" width="10.44140625" customWidth="1"/>
  </cols>
  <sheetData>
    <row r="1" spans="1:4" x14ac:dyDescent="0.3">
      <c r="A1" s="2" t="s">
        <v>217</v>
      </c>
      <c r="B1" s="2" t="s">
        <v>218</v>
      </c>
      <c r="C1" s="2" t="s">
        <v>10</v>
      </c>
      <c r="D1" s="2" t="s">
        <v>8</v>
      </c>
    </row>
    <row r="2" spans="1:4" x14ac:dyDescent="0.3">
      <c r="A2" s="4" t="s">
        <v>0</v>
      </c>
      <c r="B2" s="4" t="s">
        <v>213</v>
      </c>
      <c r="C2" s="4" t="s">
        <v>215</v>
      </c>
      <c r="D2" s="4">
        <v>10</v>
      </c>
    </row>
    <row r="3" spans="1:4" ht="28.8" x14ac:dyDescent="0.3">
      <c r="A3" s="4" t="s">
        <v>1</v>
      </c>
      <c r="B3" s="4" t="s">
        <v>212</v>
      </c>
      <c r="C3" s="4" t="s">
        <v>215</v>
      </c>
      <c r="D3" s="4">
        <v>50</v>
      </c>
    </row>
    <row r="4" spans="1:4" x14ac:dyDescent="0.3">
      <c r="A4" s="4" t="s">
        <v>2</v>
      </c>
      <c r="B4" s="4" t="s">
        <v>211</v>
      </c>
      <c r="C4" s="4" t="s">
        <v>215</v>
      </c>
      <c r="D4" s="4">
        <v>30</v>
      </c>
    </row>
    <row r="5" spans="1:4" x14ac:dyDescent="0.3">
      <c r="A5" s="4" t="s">
        <v>3</v>
      </c>
      <c r="B5" s="4" t="s">
        <v>209</v>
      </c>
      <c r="C5" s="4" t="s">
        <v>215</v>
      </c>
      <c r="D5" s="4">
        <v>5</v>
      </c>
    </row>
    <row r="6" spans="1:4" x14ac:dyDescent="0.3">
      <c r="A6" s="4" t="s">
        <v>4</v>
      </c>
      <c r="B6" s="4" t="s">
        <v>210</v>
      </c>
      <c r="C6" s="4" t="s">
        <v>216</v>
      </c>
      <c r="D6" s="4">
        <v>40</v>
      </c>
    </row>
    <row r="7" spans="1:4" x14ac:dyDescent="0.3">
      <c r="A7" s="4" t="s">
        <v>12</v>
      </c>
      <c r="B7" s="4" t="s">
        <v>213</v>
      </c>
      <c r="C7" s="4" t="s">
        <v>215</v>
      </c>
      <c r="D7" s="4">
        <v>31.5</v>
      </c>
    </row>
    <row r="8" spans="1:4" ht="28.8" x14ac:dyDescent="0.3">
      <c r="A8" s="4" t="s">
        <v>13</v>
      </c>
      <c r="B8" s="4" t="s">
        <v>212</v>
      </c>
      <c r="C8" s="4" t="s">
        <v>215</v>
      </c>
      <c r="D8" s="4">
        <v>33</v>
      </c>
    </row>
    <row r="9" spans="1:4" x14ac:dyDescent="0.3">
      <c r="A9" s="4" t="s">
        <v>14</v>
      </c>
      <c r="B9" s="4" t="s">
        <v>211</v>
      </c>
      <c r="C9" s="4" t="s">
        <v>215</v>
      </c>
      <c r="D9" s="4">
        <v>34.5</v>
      </c>
    </row>
    <row r="10" spans="1:4" x14ac:dyDescent="0.3">
      <c r="A10" s="4" t="s">
        <v>15</v>
      </c>
      <c r="B10" s="4" t="s">
        <v>209</v>
      </c>
      <c r="C10" s="4" t="s">
        <v>215</v>
      </c>
      <c r="D10" s="4">
        <v>36</v>
      </c>
    </row>
    <row r="11" spans="1:4" x14ac:dyDescent="0.3">
      <c r="A11" s="4" t="s">
        <v>16</v>
      </c>
      <c r="B11" s="4" t="s">
        <v>210</v>
      </c>
      <c r="C11" s="4" t="s">
        <v>216</v>
      </c>
      <c r="D11" s="4">
        <v>37.5</v>
      </c>
    </row>
    <row r="12" spans="1:4" x14ac:dyDescent="0.3">
      <c r="A12" s="4" t="s">
        <v>17</v>
      </c>
      <c r="B12" s="4" t="s">
        <v>213</v>
      </c>
      <c r="C12" s="4" t="s">
        <v>215</v>
      </c>
      <c r="D12" s="4">
        <v>39</v>
      </c>
    </row>
    <row r="13" spans="1:4" ht="28.8" x14ac:dyDescent="0.3">
      <c r="A13" s="4" t="s">
        <v>18</v>
      </c>
      <c r="B13" s="4" t="s">
        <v>212</v>
      </c>
      <c r="C13" s="4" t="s">
        <v>215</v>
      </c>
      <c r="D13" s="4">
        <v>40.5</v>
      </c>
    </row>
    <row r="14" spans="1:4" x14ac:dyDescent="0.3">
      <c r="A14" s="4" t="s">
        <v>19</v>
      </c>
      <c r="B14" s="4" t="s">
        <v>211</v>
      </c>
      <c r="C14" s="4" t="s">
        <v>215</v>
      </c>
      <c r="D14" s="4">
        <v>42</v>
      </c>
    </row>
    <row r="15" spans="1:4" x14ac:dyDescent="0.3">
      <c r="A15" s="4" t="s">
        <v>20</v>
      </c>
      <c r="B15" s="4" t="s">
        <v>209</v>
      </c>
      <c r="C15" s="4" t="s">
        <v>215</v>
      </c>
      <c r="D15" s="4">
        <v>43.5</v>
      </c>
    </row>
    <row r="16" spans="1:4" x14ac:dyDescent="0.3">
      <c r="A16" s="4" t="s">
        <v>21</v>
      </c>
      <c r="B16" s="4" t="s">
        <v>210</v>
      </c>
      <c r="C16" s="4" t="s">
        <v>216</v>
      </c>
      <c r="D16" s="4">
        <v>45</v>
      </c>
    </row>
    <row r="17" spans="1:4" x14ac:dyDescent="0.3">
      <c r="A17" s="4" t="s">
        <v>22</v>
      </c>
      <c r="B17" s="4" t="s">
        <v>213</v>
      </c>
      <c r="C17" s="4" t="s">
        <v>215</v>
      </c>
      <c r="D17" s="4">
        <v>46.5</v>
      </c>
    </row>
    <row r="18" spans="1:4" ht="28.8" x14ac:dyDescent="0.3">
      <c r="A18" s="4" t="s">
        <v>23</v>
      </c>
      <c r="B18" s="4" t="s">
        <v>212</v>
      </c>
      <c r="C18" s="4" t="s">
        <v>215</v>
      </c>
      <c r="D18" s="4">
        <v>48</v>
      </c>
    </row>
    <row r="19" spans="1:4" x14ac:dyDescent="0.3">
      <c r="A19" s="4" t="s">
        <v>24</v>
      </c>
      <c r="B19" s="4" t="s">
        <v>211</v>
      </c>
      <c r="C19" s="4" t="s">
        <v>215</v>
      </c>
      <c r="D19" s="4">
        <v>49.5</v>
      </c>
    </row>
    <row r="20" spans="1:4" x14ac:dyDescent="0.3">
      <c r="A20" s="4" t="s">
        <v>25</v>
      </c>
      <c r="B20" s="4" t="s">
        <v>209</v>
      </c>
      <c r="C20" s="4" t="s">
        <v>215</v>
      </c>
      <c r="D20" s="4">
        <v>51</v>
      </c>
    </row>
    <row r="21" spans="1:4" x14ac:dyDescent="0.3">
      <c r="A21" s="4" t="s">
        <v>26</v>
      </c>
      <c r="B21" s="4" t="s">
        <v>210</v>
      </c>
      <c r="C21" s="4" t="s">
        <v>216</v>
      </c>
      <c r="D21" s="4">
        <v>52.5</v>
      </c>
    </row>
    <row r="22" spans="1:4" x14ac:dyDescent="0.3">
      <c r="A22" s="4" t="s">
        <v>27</v>
      </c>
      <c r="B22" s="4" t="s">
        <v>213</v>
      </c>
      <c r="C22" s="4" t="s">
        <v>215</v>
      </c>
      <c r="D22" s="4">
        <v>54</v>
      </c>
    </row>
    <row r="23" spans="1:4" ht="28.8" x14ac:dyDescent="0.3">
      <c r="A23" s="4" t="s">
        <v>28</v>
      </c>
      <c r="B23" s="4" t="s">
        <v>212</v>
      </c>
      <c r="C23" s="4" t="s">
        <v>215</v>
      </c>
      <c r="D23" s="4">
        <v>55.5</v>
      </c>
    </row>
    <row r="24" spans="1:4" x14ac:dyDescent="0.3">
      <c r="A24" s="4" t="s">
        <v>29</v>
      </c>
      <c r="B24" s="4" t="s">
        <v>211</v>
      </c>
      <c r="C24" s="4" t="s">
        <v>215</v>
      </c>
      <c r="D24" s="4">
        <v>57</v>
      </c>
    </row>
    <row r="25" spans="1:4" x14ac:dyDescent="0.3">
      <c r="A25" s="4" t="s">
        <v>30</v>
      </c>
      <c r="B25" s="4" t="s">
        <v>209</v>
      </c>
      <c r="C25" s="4" t="s">
        <v>215</v>
      </c>
      <c r="D25" s="4">
        <v>58.5</v>
      </c>
    </row>
    <row r="26" spans="1:4" x14ac:dyDescent="0.3">
      <c r="A26" s="4" t="s">
        <v>31</v>
      </c>
      <c r="B26" s="4" t="s">
        <v>210</v>
      </c>
      <c r="C26" s="4" t="s">
        <v>216</v>
      </c>
      <c r="D26" s="4">
        <v>60</v>
      </c>
    </row>
    <row r="27" spans="1:4" x14ac:dyDescent="0.3">
      <c r="A27" s="4" t="s">
        <v>32</v>
      </c>
      <c r="B27" s="4" t="s">
        <v>213</v>
      </c>
      <c r="C27" s="4" t="s">
        <v>215</v>
      </c>
      <c r="D27" s="4">
        <v>61.5</v>
      </c>
    </row>
    <row r="28" spans="1:4" ht="28.8" x14ac:dyDescent="0.3">
      <c r="A28" s="4" t="s">
        <v>33</v>
      </c>
      <c r="B28" s="4" t="s">
        <v>212</v>
      </c>
      <c r="C28" s="4" t="s">
        <v>215</v>
      </c>
      <c r="D28" s="4">
        <v>63</v>
      </c>
    </row>
    <row r="29" spans="1:4" x14ac:dyDescent="0.3">
      <c r="A29" s="4" t="s">
        <v>34</v>
      </c>
      <c r="B29" s="4" t="s">
        <v>211</v>
      </c>
      <c r="C29" s="4" t="s">
        <v>215</v>
      </c>
      <c r="D29" s="4">
        <v>64.5</v>
      </c>
    </row>
    <row r="30" spans="1:4" x14ac:dyDescent="0.3">
      <c r="A30" s="4" t="s">
        <v>35</v>
      </c>
      <c r="B30" s="4" t="s">
        <v>209</v>
      </c>
      <c r="C30" s="4" t="s">
        <v>215</v>
      </c>
      <c r="D30" s="4">
        <v>66</v>
      </c>
    </row>
    <row r="31" spans="1:4" x14ac:dyDescent="0.3">
      <c r="A31" s="4" t="s">
        <v>36</v>
      </c>
      <c r="B31" s="4" t="s">
        <v>210</v>
      </c>
      <c r="C31" s="4" t="s">
        <v>216</v>
      </c>
      <c r="D31" s="4">
        <v>67.5</v>
      </c>
    </row>
    <row r="32" spans="1:4" x14ac:dyDescent="0.3">
      <c r="A32" s="4" t="s">
        <v>37</v>
      </c>
      <c r="B32" s="4" t="s">
        <v>213</v>
      </c>
      <c r="C32" s="4" t="s">
        <v>215</v>
      </c>
      <c r="D32" s="4">
        <v>69</v>
      </c>
    </row>
    <row r="33" spans="1:4" ht="28.8" x14ac:dyDescent="0.3">
      <c r="A33" s="4" t="s">
        <v>38</v>
      </c>
      <c r="B33" s="4" t="s">
        <v>212</v>
      </c>
      <c r="C33" s="4" t="s">
        <v>215</v>
      </c>
      <c r="D33" s="4">
        <v>70.5</v>
      </c>
    </row>
    <row r="34" spans="1:4" x14ac:dyDescent="0.3">
      <c r="A34" s="4" t="s">
        <v>39</v>
      </c>
      <c r="B34" s="4" t="s">
        <v>211</v>
      </c>
      <c r="C34" s="4" t="s">
        <v>215</v>
      </c>
      <c r="D34" s="4">
        <v>72</v>
      </c>
    </row>
    <row r="35" spans="1:4" x14ac:dyDescent="0.3">
      <c r="A35" s="4" t="s">
        <v>40</v>
      </c>
      <c r="B35" s="4" t="s">
        <v>209</v>
      </c>
      <c r="C35" s="4" t="s">
        <v>215</v>
      </c>
      <c r="D35" s="4">
        <v>73.5</v>
      </c>
    </row>
    <row r="36" spans="1:4" x14ac:dyDescent="0.3">
      <c r="A36" s="4" t="s">
        <v>41</v>
      </c>
      <c r="B36" s="4" t="s">
        <v>210</v>
      </c>
      <c r="C36" s="4" t="s">
        <v>216</v>
      </c>
      <c r="D36" s="4">
        <v>75</v>
      </c>
    </row>
    <row r="37" spans="1:4" x14ac:dyDescent="0.3">
      <c r="A37" s="4" t="s">
        <v>42</v>
      </c>
      <c r="B37" s="4" t="s">
        <v>213</v>
      </c>
      <c r="C37" s="4" t="s">
        <v>215</v>
      </c>
      <c r="D37" s="4">
        <v>76.5</v>
      </c>
    </row>
    <row r="38" spans="1:4" ht="28.8" x14ac:dyDescent="0.3">
      <c r="A38" s="4" t="s">
        <v>43</v>
      </c>
      <c r="B38" s="4" t="s">
        <v>212</v>
      </c>
      <c r="C38" s="4" t="s">
        <v>215</v>
      </c>
      <c r="D38" s="4">
        <v>78</v>
      </c>
    </row>
    <row r="39" spans="1:4" x14ac:dyDescent="0.3">
      <c r="A39" s="4" t="s">
        <v>44</v>
      </c>
      <c r="B39" s="4" t="s">
        <v>211</v>
      </c>
      <c r="C39" s="4" t="s">
        <v>215</v>
      </c>
      <c r="D39" s="4">
        <v>79.5</v>
      </c>
    </row>
    <row r="40" spans="1:4" x14ac:dyDescent="0.3">
      <c r="A40" s="4" t="s">
        <v>45</v>
      </c>
      <c r="B40" s="4" t="s">
        <v>209</v>
      </c>
      <c r="C40" s="4" t="s">
        <v>215</v>
      </c>
      <c r="D40" s="4">
        <v>81</v>
      </c>
    </row>
    <row r="41" spans="1:4" x14ac:dyDescent="0.3">
      <c r="A41" s="4" t="s">
        <v>46</v>
      </c>
      <c r="B41" s="4" t="s">
        <v>210</v>
      </c>
      <c r="C41" s="4" t="s">
        <v>216</v>
      </c>
      <c r="D41" s="4">
        <v>82.5</v>
      </c>
    </row>
    <row r="42" spans="1:4" x14ac:dyDescent="0.3">
      <c r="A42" s="4" t="s">
        <v>47</v>
      </c>
      <c r="B42" s="4" t="s">
        <v>213</v>
      </c>
      <c r="C42" s="4" t="s">
        <v>215</v>
      </c>
      <c r="D42" s="4">
        <v>84</v>
      </c>
    </row>
    <row r="43" spans="1:4" ht="28.8" x14ac:dyDescent="0.3">
      <c r="A43" s="4" t="s">
        <v>48</v>
      </c>
      <c r="B43" s="4" t="s">
        <v>212</v>
      </c>
      <c r="C43" s="4" t="s">
        <v>215</v>
      </c>
      <c r="D43" s="4">
        <v>85.5</v>
      </c>
    </row>
    <row r="44" spans="1:4" x14ac:dyDescent="0.3">
      <c r="A44" s="4" t="s">
        <v>49</v>
      </c>
      <c r="B44" s="4" t="s">
        <v>211</v>
      </c>
      <c r="C44" s="4" t="s">
        <v>215</v>
      </c>
      <c r="D44" s="4">
        <v>87</v>
      </c>
    </row>
    <row r="45" spans="1:4" x14ac:dyDescent="0.3">
      <c r="A45" s="4" t="s">
        <v>50</v>
      </c>
      <c r="B45" s="4" t="s">
        <v>209</v>
      </c>
      <c r="C45" s="4" t="s">
        <v>215</v>
      </c>
      <c r="D45" s="4">
        <v>88.5</v>
      </c>
    </row>
    <row r="46" spans="1:4" x14ac:dyDescent="0.3">
      <c r="A46" s="4" t="s">
        <v>51</v>
      </c>
      <c r="B46" s="4" t="s">
        <v>210</v>
      </c>
      <c r="C46" s="4" t="s">
        <v>216</v>
      </c>
      <c r="D46" s="4">
        <v>90</v>
      </c>
    </row>
    <row r="47" spans="1:4" x14ac:dyDescent="0.3">
      <c r="A47" s="4" t="s">
        <v>52</v>
      </c>
      <c r="B47" s="4" t="s">
        <v>213</v>
      </c>
      <c r="C47" s="4" t="s">
        <v>215</v>
      </c>
      <c r="D47" s="4">
        <v>91.5</v>
      </c>
    </row>
    <row r="48" spans="1:4" ht="28.8" x14ac:dyDescent="0.3">
      <c r="A48" s="4" t="s">
        <v>53</v>
      </c>
      <c r="B48" s="4" t="s">
        <v>212</v>
      </c>
      <c r="C48" s="4" t="s">
        <v>215</v>
      </c>
      <c r="D48" s="4">
        <v>93</v>
      </c>
    </row>
    <row r="49" spans="1:4" x14ac:dyDescent="0.3">
      <c r="A49" s="4" t="s">
        <v>54</v>
      </c>
      <c r="B49" s="4" t="s">
        <v>211</v>
      </c>
      <c r="C49" s="4" t="s">
        <v>215</v>
      </c>
      <c r="D49" s="4">
        <v>94.5</v>
      </c>
    </row>
    <row r="50" spans="1:4" x14ac:dyDescent="0.3">
      <c r="A50" s="4" t="s">
        <v>55</v>
      </c>
      <c r="B50" s="4" t="s">
        <v>209</v>
      </c>
      <c r="C50" s="4" t="s">
        <v>215</v>
      </c>
      <c r="D50" s="4">
        <v>96</v>
      </c>
    </row>
    <row r="51" spans="1:4" x14ac:dyDescent="0.3">
      <c r="A51" s="4" t="s">
        <v>56</v>
      </c>
      <c r="B51" s="4" t="s">
        <v>210</v>
      </c>
      <c r="C51" s="4" t="s">
        <v>216</v>
      </c>
      <c r="D51" s="4">
        <v>97.5</v>
      </c>
    </row>
    <row r="52" spans="1:4" x14ac:dyDescent="0.3">
      <c r="A52" s="4" t="s">
        <v>57</v>
      </c>
      <c r="B52" s="4" t="s">
        <v>213</v>
      </c>
      <c r="C52" s="4" t="s">
        <v>215</v>
      </c>
      <c r="D52" s="4">
        <v>99</v>
      </c>
    </row>
    <row r="53" spans="1:4" ht="28.8" x14ac:dyDescent="0.3">
      <c r="A53" s="4" t="s">
        <v>58</v>
      </c>
      <c r="B53" s="4" t="s">
        <v>212</v>
      </c>
      <c r="C53" s="4" t="s">
        <v>215</v>
      </c>
      <c r="D53" s="4">
        <v>100.5</v>
      </c>
    </row>
    <row r="54" spans="1:4" x14ac:dyDescent="0.3">
      <c r="A54" s="4" t="s">
        <v>59</v>
      </c>
      <c r="B54" s="4" t="s">
        <v>211</v>
      </c>
      <c r="C54" s="4" t="s">
        <v>215</v>
      </c>
      <c r="D54" s="4">
        <v>102</v>
      </c>
    </row>
    <row r="55" spans="1:4" x14ac:dyDescent="0.3">
      <c r="A55" s="4" t="s">
        <v>60</v>
      </c>
      <c r="B55" s="4" t="s">
        <v>209</v>
      </c>
      <c r="C55" s="4" t="s">
        <v>215</v>
      </c>
      <c r="D55" s="4">
        <v>103.5</v>
      </c>
    </row>
    <row r="56" spans="1:4" x14ac:dyDescent="0.3">
      <c r="A56" s="4" t="s">
        <v>61</v>
      </c>
      <c r="B56" s="4" t="s">
        <v>210</v>
      </c>
      <c r="C56" s="4" t="s">
        <v>216</v>
      </c>
      <c r="D56" s="4">
        <v>105</v>
      </c>
    </row>
    <row r="57" spans="1:4" x14ac:dyDescent="0.3">
      <c r="A57" s="4" t="s">
        <v>62</v>
      </c>
      <c r="B57" s="4" t="s">
        <v>213</v>
      </c>
      <c r="C57" s="4" t="s">
        <v>215</v>
      </c>
      <c r="D57" s="4">
        <v>106.5</v>
      </c>
    </row>
    <row r="58" spans="1:4" ht="28.8" x14ac:dyDescent="0.3">
      <c r="A58" s="4" t="s">
        <v>63</v>
      </c>
      <c r="B58" s="4" t="s">
        <v>212</v>
      </c>
      <c r="C58" s="4" t="s">
        <v>215</v>
      </c>
      <c r="D58" s="4">
        <v>108</v>
      </c>
    </row>
    <row r="59" spans="1:4" x14ac:dyDescent="0.3">
      <c r="A59" s="4" t="s">
        <v>64</v>
      </c>
      <c r="B59" s="4" t="s">
        <v>211</v>
      </c>
      <c r="C59" s="4" t="s">
        <v>215</v>
      </c>
      <c r="D59" s="4">
        <v>109.5</v>
      </c>
    </row>
    <row r="60" spans="1:4" x14ac:dyDescent="0.3">
      <c r="A60" s="4" t="s">
        <v>65</v>
      </c>
      <c r="B60" s="4" t="s">
        <v>209</v>
      </c>
      <c r="C60" s="4" t="s">
        <v>215</v>
      </c>
      <c r="D60" s="4">
        <v>111</v>
      </c>
    </row>
    <row r="61" spans="1:4" x14ac:dyDescent="0.3">
      <c r="A61" s="4" t="s">
        <v>66</v>
      </c>
      <c r="B61" s="4" t="s">
        <v>210</v>
      </c>
      <c r="C61" s="4" t="s">
        <v>216</v>
      </c>
      <c r="D61" s="4">
        <v>112.5</v>
      </c>
    </row>
    <row r="62" spans="1:4" x14ac:dyDescent="0.3">
      <c r="A62" s="4" t="s">
        <v>67</v>
      </c>
      <c r="B62" s="4" t="s">
        <v>213</v>
      </c>
      <c r="C62" s="4" t="s">
        <v>215</v>
      </c>
      <c r="D62" s="4">
        <v>114</v>
      </c>
    </row>
    <row r="63" spans="1:4" ht="28.8" x14ac:dyDescent="0.3">
      <c r="A63" s="4" t="s">
        <v>68</v>
      </c>
      <c r="B63" s="4" t="s">
        <v>212</v>
      </c>
      <c r="C63" s="4" t="s">
        <v>215</v>
      </c>
      <c r="D63" s="4">
        <v>115.5</v>
      </c>
    </row>
    <row r="64" spans="1:4" x14ac:dyDescent="0.3">
      <c r="A64" s="4" t="s">
        <v>69</v>
      </c>
      <c r="B64" s="4" t="s">
        <v>211</v>
      </c>
      <c r="C64" s="4" t="s">
        <v>215</v>
      </c>
      <c r="D64" s="4">
        <v>117</v>
      </c>
    </row>
    <row r="65" spans="1:4" x14ac:dyDescent="0.3">
      <c r="A65" s="4" t="s">
        <v>70</v>
      </c>
      <c r="B65" s="4" t="s">
        <v>209</v>
      </c>
      <c r="C65" s="4" t="s">
        <v>215</v>
      </c>
      <c r="D65" s="4">
        <v>118.5</v>
      </c>
    </row>
    <row r="66" spans="1:4" x14ac:dyDescent="0.3">
      <c r="A66" s="4" t="s">
        <v>71</v>
      </c>
      <c r="B66" s="4" t="s">
        <v>210</v>
      </c>
      <c r="C66" s="4" t="s">
        <v>216</v>
      </c>
      <c r="D66" s="4">
        <v>120</v>
      </c>
    </row>
    <row r="67" spans="1:4" x14ac:dyDescent="0.3">
      <c r="A67" s="4" t="s">
        <v>72</v>
      </c>
      <c r="B67" s="4" t="s">
        <v>213</v>
      </c>
      <c r="C67" s="4" t="s">
        <v>215</v>
      </c>
      <c r="D67" s="4">
        <v>121.5</v>
      </c>
    </row>
    <row r="68" spans="1:4" ht="28.8" x14ac:dyDescent="0.3">
      <c r="A68" s="4" t="s">
        <v>73</v>
      </c>
      <c r="B68" s="4" t="s">
        <v>212</v>
      </c>
      <c r="C68" s="4" t="s">
        <v>215</v>
      </c>
      <c r="D68" s="4">
        <v>123</v>
      </c>
    </row>
    <row r="69" spans="1:4" x14ac:dyDescent="0.3">
      <c r="A69" s="4" t="s">
        <v>74</v>
      </c>
      <c r="B69" s="4" t="s">
        <v>211</v>
      </c>
      <c r="C69" s="4" t="s">
        <v>215</v>
      </c>
      <c r="D69" s="4">
        <v>124.5</v>
      </c>
    </row>
    <row r="70" spans="1:4" x14ac:dyDescent="0.3">
      <c r="A70" s="4" t="s">
        <v>75</v>
      </c>
      <c r="B70" s="4" t="s">
        <v>209</v>
      </c>
      <c r="C70" s="4" t="s">
        <v>215</v>
      </c>
      <c r="D70" s="4">
        <v>126</v>
      </c>
    </row>
    <row r="71" spans="1:4" x14ac:dyDescent="0.3">
      <c r="A71" s="4" t="s">
        <v>76</v>
      </c>
      <c r="B71" s="4" t="s">
        <v>210</v>
      </c>
      <c r="C71" s="4" t="s">
        <v>216</v>
      </c>
      <c r="D71" s="4">
        <v>127.5</v>
      </c>
    </row>
    <row r="72" spans="1:4" x14ac:dyDescent="0.3">
      <c r="A72" s="4" t="s">
        <v>77</v>
      </c>
      <c r="B72" s="4" t="s">
        <v>213</v>
      </c>
      <c r="C72" s="4" t="s">
        <v>215</v>
      </c>
      <c r="D72" s="4">
        <v>129</v>
      </c>
    </row>
    <row r="73" spans="1:4" ht="28.8" x14ac:dyDescent="0.3">
      <c r="A73" s="4" t="s">
        <v>78</v>
      </c>
      <c r="B73" s="4" t="s">
        <v>212</v>
      </c>
      <c r="C73" s="4" t="s">
        <v>215</v>
      </c>
      <c r="D73" s="4">
        <v>130.5</v>
      </c>
    </row>
    <row r="74" spans="1:4" x14ac:dyDescent="0.3">
      <c r="A74" s="4" t="s">
        <v>79</v>
      </c>
      <c r="B74" s="4" t="s">
        <v>211</v>
      </c>
      <c r="C74" s="4" t="s">
        <v>215</v>
      </c>
      <c r="D74" s="4">
        <v>132</v>
      </c>
    </row>
    <row r="75" spans="1:4" x14ac:dyDescent="0.3">
      <c r="A75" s="4" t="s">
        <v>80</v>
      </c>
      <c r="B75" s="4" t="s">
        <v>209</v>
      </c>
      <c r="C75" s="4" t="s">
        <v>215</v>
      </c>
      <c r="D75" s="4">
        <v>133.5</v>
      </c>
    </row>
    <row r="76" spans="1:4" x14ac:dyDescent="0.3">
      <c r="A76" s="4" t="s">
        <v>81</v>
      </c>
      <c r="B76" s="4" t="s">
        <v>210</v>
      </c>
      <c r="C76" s="4" t="s">
        <v>216</v>
      </c>
      <c r="D76" s="4">
        <v>135</v>
      </c>
    </row>
    <row r="77" spans="1:4" x14ac:dyDescent="0.3">
      <c r="A77" s="4" t="s">
        <v>82</v>
      </c>
      <c r="B77" s="4" t="s">
        <v>213</v>
      </c>
      <c r="C77" s="4" t="s">
        <v>215</v>
      </c>
      <c r="D77" s="4">
        <v>136.5</v>
      </c>
    </row>
    <row r="78" spans="1:4" ht="28.8" x14ac:dyDescent="0.3">
      <c r="A78" s="4" t="s">
        <v>83</v>
      </c>
      <c r="B78" s="4" t="s">
        <v>212</v>
      </c>
      <c r="C78" s="4" t="s">
        <v>215</v>
      </c>
      <c r="D78" s="4">
        <v>138</v>
      </c>
    </row>
    <row r="79" spans="1:4" x14ac:dyDescent="0.3">
      <c r="A79" s="4" t="s">
        <v>84</v>
      </c>
      <c r="B79" s="4" t="s">
        <v>211</v>
      </c>
      <c r="C79" s="4" t="s">
        <v>215</v>
      </c>
      <c r="D79" s="4">
        <v>139.5</v>
      </c>
    </row>
    <row r="80" spans="1:4" x14ac:dyDescent="0.3">
      <c r="A80" s="4" t="s">
        <v>85</v>
      </c>
      <c r="B80" s="4" t="s">
        <v>209</v>
      </c>
      <c r="C80" s="4" t="s">
        <v>215</v>
      </c>
      <c r="D80" s="4">
        <v>141</v>
      </c>
    </row>
    <row r="81" spans="1:4" x14ac:dyDescent="0.3">
      <c r="A81" s="4" t="s">
        <v>86</v>
      </c>
      <c r="B81" s="4" t="s">
        <v>210</v>
      </c>
      <c r="C81" s="4" t="s">
        <v>216</v>
      </c>
      <c r="D81" s="4">
        <v>142.5</v>
      </c>
    </row>
    <row r="82" spans="1:4" x14ac:dyDescent="0.3">
      <c r="A82" s="4" t="s">
        <v>87</v>
      </c>
      <c r="B82" s="4" t="s">
        <v>213</v>
      </c>
      <c r="C82" s="4" t="s">
        <v>215</v>
      </c>
      <c r="D82" s="4">
        <v>144</v>
      </c>
    </row>
    <row r="83" spans="1:4" ht="28.8" x14ac:dyDescent="0.3">
      <c r="A83" s="4" t="s">
        <v>88</v>
      </c>
      <c r="B83" s="4" t="s">
        <v>212</v>
      </c>
      <c r="C83" s="4" t="s">
        <v>215</v>
      </c>
      <c r="D83" s="4">
        <v>145.5</v>
      </c>
    </row>
    <row r="84" spans="1:4" x14ac:dyDescent="0.3">
      <c r="A84" s="4" t="s">
        <v>89</v>
      </c>
      <c r="B84" s="4" t="s">
        <v>211</v>
      </c>
      <c r="C84" s="4" t="s">
        <v>215</v>
      </c>
      <c r="D84" s="4">
        <v>147</v>
      </c>
    </row>
    <row r="85" spans="1:4" x14ac:dyDescent="0.3">
      <c r="A85" s="4" t="s">
        <v>90</v>
      </c>
      <c r="B85" s="4" t="s">
        <v>209</v>
      </c>
      <c r="C85" s="4" t="s">
        <v>215</v>
      </c>
      <c r="D85" s="4">
        <v>148.5</v>
      </c>
    </row>
    <row r="86" spans="1:4" x14ac:dyDescent="0.3">
      <c r="A86" s="4" t="s">
        <v>91</v>
      </c>
      <c r="B86" s="4" t="s">
        <v>210</v>
      </c>
      <c r="C86" s="4" t="s">
        <v>216</v>
      </c>
      <c r="D86" s="4">
        <v>150</v>
      </c>
    </row>
    <row r="87" spans="1:4" x14ac:dyDescent="0.3">
      <c r="A87" s="4" t="s">
        <v>92</v>
      </c>
      <c r="B87" s="4" t="s">
        <v>213</v>
      </c>
      <c r="C87" s="4" t="s">
        <v>215</v>
      </c>
      <c r="D87" s="4">
        <v>151.5</v>
      </c>
    </row>
    <row r="88" spans="1:4" ht="28.8" x14ac:dyDescent="0.3">
      <c r="A88" s="4" t="s">
        <v>93</v>
      </c>
      <c r="B88" s="4" t="s">
        <v>212</v>
      </c>
      <c r="C88" s="4" t="s">
        <v>215</v>
      </c>
      <c r="D88" s="4">
        <v>153</v>
      </c>
    </row>
    <row r="89" spans="1:4" x14ac:dyDescent="0.3">
      <c r="A89" s="4" t="s">
        <v>94</v>
      </c>
      <c r="B89" s="4" t="s">
        <v>211</v>
      </c>
      <c r="C89" s="4" t="s">
        <v>215</v>
      </c>
      <c r="D89" s="4">
        <v>154.5</v>
      </c>
    </row>
    <row r="90" spans="1:4" x14ac:dyDescent="0.3">
      <c r="A90" s="4" t="s">
        <v>95</v>
      </c>
      <c r="B90" s="4" t="s">
        <v>209</v>
      </c>
      <c r="C90" s="4" t="s">
        <v>215</v>
      </c>
      <c r="D90" s="4">
        <v>156</v>
      </c>
    </row>
    <row r="91" spans="1:4" x14ac:dyDescent="0.3">
      <c r="A91" s="4" t="s">
        <v>96</v>
      </c>
      <c r="B91" s="4" t="s">
        <v>210</v>
      </c>
      <c r="C91" s="4" t="s">
        <v>216</v>
      </c>
      <c r="D91" s="4">
        <v>157.5</v>
      </c>
    </row>
    <row r="92" spans="1:4" x14ac:dyDescent="0.3">
      <c r="A92" s="4" t="s">
        <v>97</v>
      </c>
      <c r="B92" s="4" t="s">
        <v>213</v>
      </c>
      <c r="C92" s="4" t="s">
        <v>215</v>
      </c>
      <c r="D92" s="4">
        <v>159</v>
      </c>
    </row>
    <row r="93" spans="1:4" ht="28.8" x14ac:dyDescent="0.3">
      <c r="A93" s="4" t="s">
        <v>98</v>
      </c>
      <c r="B93" s="4" t="s">
        <v>212</v>
      </c>
      <c r="C93" s="4" t="s">
        <v>215</v>
      </c>
      <c r="D93" s="4">
        <v>160.5</v>
      </c>
    </row>
    <row r="94" spans="1:4" x14ac:dyDescent="0.3">
      <c r="A94" s="4" t="s">
        <v>99</v>
      </c>
      <c r="B94" s="4" t="s">
        <v>211</v>
      </c>
      <c r="C94" s="4" t="s">
        <v>215</v>
      </c>
      <c r="D94" s="4">
        <v>162</v>
      </c>
    </row>
    <row r="95" spans="1:4" x14ac:dyDescent="0.3">
      <c r="A95" s="4" t="s">
        <v>100</v>
      </c>
      <c r="B95" s="4" t="s">
        <v>209</v>
      </c>
      <c r="C95" s="4" t="s">
        <v>215</v>
      </c>
      <c r="D95" s="4">
        <v>163.5</v>
      </c>
    </row>
    <row r="96" spans="1:4" x14ac:dyDescent="0.3">
      <c r="A96" s="4" t="s">
        <v>101</v>
      </c>
      <c r="B96" s="4" t="s">
        <v>210</v>
      </c>
      <c r="C96" s="4" t="s">
        <v>216</v>
      </c>
      <c r="D96" s="4">
        <v>165</v>
      </c>
    </row>
    <row r="97" spans="1:4" x14ac:dyDescent="0.3">
      <c r="A97" s="4" t="s">
        <v>102</v>
      </c>
      <c r="B97" s="4" t="s">
        <v>213</v>
      </c>
      <c r="C97" s="4" t="s">
        <v>215</v>
      </c>
      <c r="D97" s="4">
        <v>166.5</v>
      </c>
    </row>
    <row r="98" spans="1:4" ht="28.8" x14ac:dyDescent="0.3">
      <c r="A98" s="4" t="s">
        <v>103</v>
      </c>
      <c r="B98" s="4" t="s">
        <v>212</v>
      </c>
      <c r="C98" s="4" t="s">
        <v>215</v>
      </c>
      <c r="D98" s="4">
        <v>168</v>
      </c>
    </row>
    <row r="99" spans="1:4" x14ac:dyDescent="0.3">
      <c r="A99" s="4" t="s">
        <v>104</v>
      </c>
      <c r="B99" s="4" t="s">
        <v>211</v>
      </c>
      <c r="C99" s="4" t="s">
        <v>215</v>
      </c>
      <c r="D99" s="4">
        <v>169.5</v>
      </c>
    </row>
    <row r="100" spans="1:4" x14ac:dyDescent="0.3">
      <c r="A100" s="4" t="s">
        <v>105</v>
      </c>
      <c r="B100" s="4" t="s">
        <v>209</v>
      </c>
      <c r="C100" s="4" t="s">
        <v>215</v>
      </c>
      <c r="D100" s="4">
        <v>171</v>
      </c>
    </row>
    <row r="101" spans="1:4" x14ac:dyDescent="0.3">
      <c r="A101" s="4" t="s">
        <v>106</v>
      </c>
      <c r="B101" s="4" t="s">
        <v>210</v>
      </c>
      <c r="C101" s="4" t="s">
        <v>216</v>
      </c>
      <c r="D101" s="4">
        <v>172.5</v>
      </c>
    </row>
    <row r="102" spans="1:4" x14ac:dyDescent="0.3">
      <c r="A102" s="4" t="s">
        <v>107</v>
      </c>
      <c r="B102" s="4" t="s">
        <v>213</v>
      </c>
      <c r="C102" s="4" t="s">
        <v>215</v>
      </c>
      <c r="D102" s="4">
        <v>174</v>
      </c>
    </row>
    <row r="103" spans="1:4" ht="28.8" x14ac:dyDescent="0.3">
      <c r="A103" s="4" t="s">
        <v>108</v>
      </c>
      <c r="B103" s="4" t="s">
        <v>212</v>
      </c>
      <c r="C103" s="4" t="s">
        <v>215</v>
      </c>
      <c r="D103" s="4">
        <v>175.5</v>
      </c>
    </row>
    <row r="104" spans="1:4" x14ac:dyDescent="0.3">
      <c r="A104" s="4" t="s">
        <v>109</v>
      </c>
      <c r="B104" s="4" t="s">
        <v>211</v>
      </c>
      <c r="C104" s="4" t="s">
        <v>215</v>
      </c>
      <c r="D104" s="4">
        <v>177</v>
      </c>
    </row>
    <row r="105" spans="1:4" x14ac:dyDescent="0.3">
      <c r="A105" s="4" t="s">
        <v>110</v>
      </c>
      <c r="B105" s="4" t="s">
        <v>209</v>
      </c>
      <c r="C105" s="4" t="s">
        <v>215</v>
      </c>
      <c r="D105" s="4">
        <v>178.5</v>
      </c>
    </row>
    <row r="106" spans="1:4" x14ac:dyDescent="0.3">
      <c r="A106" s="4" t="s">
        <v>111</v>
      </c>
      <c r="B106" s="4" t="s">
        <v>210</v>
      </c>
      <c r="C106" s="4" t="s">
        <v>216</v>
      </c>
      <c r="D106" s="4">
        <v>180</v>
      </c>
    </row>
    <row r="107" spans="1:4" x14ac:dyDescent="0.3">
      <c r="A107" s="4" t="s">
        <v>112</v>
      </c>
      <c r="B107" s="4" t="s">
        <v>213</v>
      </c>
      <c r="C107" s="4" t="s">
        <v>215</v>
      </c>
      <c r="D107" s="4">
        <v>181.5</v>
      </c>
    </row>
    <row r="108" spans="1:4" ht="28.8" x14ac:dyDescent="0.3">
      <c r="A108" s="4" t="s">
        <v>113</v>
      </c>
      <c r="B108" s="4" t="s">
        <v>212</v>
      </c>
      <c r="C108" s="4" t="s">
        <v>215</v>
      </c>
      <c r="D108" s="4">
        <v>183</v>
      </c>
    </row>
    <row r="109" spans="1:4" x14ac:dyDescent="0.3">
      <c r="A109" s="4" t="s">
        <v>114</v>
      </c>
      <c r="B109" s="4" t="s">
        <v>211</v>
      </c>
      <c r="C109" s="4" t="s">
        <v>215</v>
      </c>
      <c r="D109" s="4">
        <v>184.5</v>
      </c>
    </row>
    <row r="110" spans="1:4" x14ac:dyDescent="0.3">
      <c r="A110" s="4" t="s">
        <v>115</v>
      </c>
      <c r="B110" s="4" t="s">
        <v>209</v>
      </c>
      <c r="C110" s="4" t="s">
        <v>215</v>
      </c>
      <c r="D110" s="4">
        <v>186</v>
      </c>
    </row>
    <row r="111" spans="1:4" x14ac:dyDescent="0.3">
      <c r="A111" s="4" t="s">
        <v>116</v>
      </c>
      <c r="B111" s="4" t="s">
        <v>210</v>
      </c>
      <c r="C111" s="4" t="s">
        <v>216</v>
      </c>
      <c r="D111" s="4">
        <v>187.5</v>
      </c>
    </row>
    <row r="112" spans="1:4" x14ac:dyDescent="0.3">
      <c r="A112" s="4" t="s">
        <v>117</v>
      </c>
      <c r="B112" s="4" t="s">
        <v>213</v>
      </c>
      <c r="C112" s="4" t="s">
        <v>215</v>
      </c>
      <c r="D112" s="4">
        <v>189</v>
      </c>
    </row>
    <row r="113" spans="1:4" ht="28.8" x14ac:dyDescent="0.3">
      <c r="A113" s="4" t="s">
        <v>118</v>
      </c>
      <c r="B113" s="4" t="s">
        <v>212</v>
      </c>
      <c r="C113" s="4" t="s">
        <v>215</v>
      </c>
      <c r="D113" s="4">
        <v>190.5</v>
      </c>
    </row>
    <row r="114" spans="1:4" x14ac:dyDescent="0.3">
      <c r="A114" s="4" t="s">
        <v>119</v>
      </c>
      <c r="B114" s="4" t="s">
        <v>211</v>
      </c>
      <c r="C114" s="4" t="s">
        <v>215</v>
      </c>
      <c r="D114" s="4">
        <v>192</v>
      </c>
    </row>
    <row r="115" spans="1:4" x14ac:dyDescent="0.3">
      <c r="A115" s="4" t="s">
        <v>120</v>
      </c>
      <c r="B115" s="4" t="s">
        <v>209</v>
      </c>
      <c r="C115" s="4" t="s">
        <v>215</v>
      </c>
      <c r="D115" s="4">
        <v>193.5</v>
      </c>
    </row>
    <row r="116" spans="1:4" x14ac:dyDescent="0.3">
      <c r="A116" s="4" t="s">
        <v>121</v>
      </c>
      <c r="B116" s="4" t="s">
        <v>210</v>
      </c>
      <c r="C116" s="4" t="s">
        <v>216</v>
      </c>
      <c r="D116" s="4">
        <v>195</v>
      </c>
    </row>
    <row r="117" spans="1:4" x14ac:dyDescent="0.3">
      <c r="A117" s="4" t="s">
        <v>122</v>
      </c>
      <c r="B117" s="4" t="s">
        <v>213</v>
      </c>
      <c r="C117" s="4" t="s">
        <v>215</v>
      </c>
      <c r="D117" s="4">
        <v>196.5</v>
      </c>
    </row>
    <row r="118" spans="1:4" ht="28.8" x14ac:dyDescent="0.3">
      <c r="A118" s="4" t="s">
        <v>123</v>
      </c>
      <c r="B118" s="4" t="s">
        <v>212</v>
      </c>
      <c r="C118" s="4" t="s">
        <v>215</v>
      </c>
      <c r="D118" s="4">
        <v>198</v>
      </c>
    </row>
    <row r="119" spans="1:4" x14ac:dyDescent="0.3">
      <c r="A119" s="4" t="s">
        <v>124</v>
      </c>
      <c r="B119" s="4" t="s">
        <v>211</v>
      </c>
      <c r="C119" s="4" t="s">
        <v>215</v>
      </c>
      <c r="D119" s="4">
        <v>199.5</v>
      </c>
    </row>
    <row r="120" spans="1:4" x14ac:dyDescent="0.3">
      <c r="A120" s="4" t="s">
        <v>125</v>
      </c>
      <c r="B120" s="4" t="s">
        <v>209</v>
      </c>
      <c r="C120" s="4" t="s">
        <v>215</v>
      </c>
      <c r="D120" s="4">
        <v>201</v>
      </c>
    </row>
    <row r="121" spans="1:4" x14ac:dyDescent="0.3">
      <c r="A121" s="4" t="s">
        <v>126</v>
      </c>
      <c r="B121" s="4" t="s">
        <v>210</v>
      </c>
      <c r="C121" s="4" t="s">
        <v>216</v>
      </c>
      <c r="D121" s="4">
        <v>202.5</v>
      </c>
    </row>
    <row r="122" spans="1:4" x14ac:dyDescent="0.3">
      <c r="A122" s="4" t="s">
        <v>127</v>
      </c>
      <c r="B122" s="4" t="s">
        <v>213</v>
      </c>
      <c r="C122" s="4" t="s">
        <v>215</v>
      </c>
      <c r="D122" s="4">
        <v>204</v>
      </c>
    </row>
    <row r="123" spans="1:4" ht="28.8" x14ac:dyDescent="0.3">
      <c r="A123" s="4" t="s">
        <v>128</v>
      </c>
      <c r="B123" s="4" t="s">
        <v>212</v>
      </c>
      <c r="C123" s="4" t="s">
        <v>215</v>
      </c>
      <c r="D123" s="4">
        <v>205.5</v>
      </c>
    </row>
    <row r="124" spans="1:4" x14ac:dyDescent="0.3">
      <c r="A124" s="4" t="s">
        <v>129</v>
      </c>
      <c r="B124" s="4" t="s">
        <v>211</v>
      </c>
      <c r="C124" s="4" t="s">
        <v>215</v>
      </c>
      <c r="D124" s="4">
        <v>207</v>
      </c>
    </row>
    <row r="125" spans="1:4" x14ac:dyDescent="0.3">
      <c r="A125" s="4" t="s">
        <v>130</v>
      </c>
      <c r="B125" s="4" t="s">
        <v>209</v>
      </c>
      <c r="C125" s="4" t="s">
        <v>215</v>
      </c>
      <c r="D125" s="4">
        <v>208.5</v>
      </c>
    </row>
    <row r="126" spans="1:4" x14ac:dyDescent="0.3">
      <c r="A126" s="4" t="s">
        <v>131</v>
      </c>
      <c r="B126" s="4" t="s">
        <v>210</v>
      </c>
      <c r="C126" s="4" t="s">
        <v>216</v>
      </c>
      <c r="D126" s="4">
        <v>210</v>
      </c>
    </row>
    <row r="127" spans="1:4" x14ac:dyDescent="0.3">
      <c r="A127" s="4" t="s">
        <v>132</v>
      </c>
      <c r="B127" s="4" t="s">
        <v>213</v>
      </c>
      <c r="C127" s="4" t="s">
        <v>215</v>
      </c>
      <c r="D127" s="4">
        <v>211.5</v>
      </c>
    </row>
    <row r="128" spans="1:4" ht="28.8" x14ac:dyDescent="0.3">
      <c r="A128" s="4" t="s">
        <v>133</v>
      </c>
      <c r="B128" s="4" t="s">
        <v>212</v>
      </c>
      <c r="C128" s="4" t="s">
        <v>215</v>
      </c>
      <c r="D128" s="4">
        <v>213</v>
      </c>
    </row>
    <row r="129" spans="1:4" x14ac:dyDescent="0.3">
      <c r="A129" s="4" t="s">
        <v>134</v>
      </c>
      <c r="B129" s="4" t="s">
        <v>211</v>
      </c>
      <c r="C129" s="4" t="s">
        <v>215</v>
      </c>
      <c r="D129" s="4">
        <v>214.5</v>
      </c>
    </row>
    <row r="130" spans="1:4" x14ac:dyDescent="0.3">
      <c r="A130" s="4" t="s">
        <v>135</v>
      </c>
      <c r="B130" s="4" t="s">
        <v>209</v>
      </c>
      <c r="C130" s="4" t="s">
        <v>215</v>
      </c>
      <c r="D130" s="4">
        <v>216</v>
      </c>
    </row>
    <row r="131" spans="1:4" x14ac:dyDescent="0.3">
      <c r="A131" s="4" t="s">
        <v>136</v>
      </c>
      <c r="B131" s="4" t="s">
        <v>210</v>
      </c>
      <c r="C131" s="4" t="s">
        <v>216</v>
      </c>
      <c r="D131" s="4">
        <v>217.5</v>
      </c>
    </row>
    <row r="132" spans="1:4" x14ac:dyDescent="0.3">
      <c r="A132" s="4" t="s">
        <v>137</v>
      </c>
      <c r="B132" s="4" t="s">
        <v>213</v>
      </c>
      <c r="C132" s="4" t="s">
        <v>215</v>
      </c>
      <c r="D132" s="4">
        <v>219</v>
      </c>
    </row>
    <row r="133" spans="1:4" ht="28.8" x14ac:dyDescent="0.3">
      <c r="A133" s="4" t="s">
        <v>138</v>
      </c>
      <c r="B133" s="4" t="s">
        <v>212</v>
      </c>
      <c r="C133" s="4" t="s">
        <v>215</v>
      </c>
      <c r="D133" s="4">
        <v>220.5</v>
      </c>
    </row>
    <row r="134" spans="1:4" x14ac:dyDescent="0.3">
      <c r="A134" s="4" t="s">
        <v>139</v>
      </c>
      <c r="B134" s="4" t="s">
        <v>211</v>
      </c>
      <c r="C134" s="4" t="s">
        <v>215</v>
      </c>
      <c r="D134" s="4">
        <v>222</v>
      </c>
    </row>
    <row r="135" spans="1:4" x14ac:dyDescent="0.3">
      <c r="A135" s="4" t="s">
        <v>140</v>
      </c>
      <c r="B135" s="4" t="s">
        <v>209</v>
      </c>
      <c r="C135" s="4" t="s">
        <v>215</v>
      </c>
      <c r="D135" s="4">
        <v>223.5</v>
      </c>
    </row>
    <row r="136" spans="1:4" x14ac:dyDescent="0.3">
      <c r="A136" s="4" t="s">
        <v>141</v>
      </c>
      <c r="B136" s="4" t="s">
        <v>210</v>
      </c>
      <c r="C136" s="4" t="s">
        <v>216</v>
      </c>
      <c r="D136" s="4">
        <v>225</v>
      </c>
    </row>
    <row r="137" spans="1:4" x14ac:dyDescent="0.3">
      <c r="A137" s="4" t="s">
        <v>142</v>
      </c>
      <c r="B137" s="4" t="s">
        <v>213</v>
      </c>
      <c r="C137" s="4" t="s">
        <v>215</v>
      </c>
      <c r="D137" s="4">
        <v>226.5</v>
      </c>
    </row>
    <row r="138" spans="1:4" ht="28.8" x14ac:dyDescent="0.3">
      <c r="A138" s="4" t="s">
        <v>143</v>
      </c>
      <c r="B138" s="4" t="s">
        <v>212</v>
      </c>
      <c r="C138" s="4" t="s">
        <v>215</v>
      </c>
      <c r="D138" s="4">
        <v>228</v>
      </c>
    </row>
    <row r="139" spans="1:4" x14ac:dyDescent="0.3">
      <c r="A139" s="4" t="s">
        <v>144</v>
      </c>
      <c r="B139" s="4" t="s">
        <v>211</v>
      </c>
      <c r="C139" s="4" t="s">
        <v>215</v>
      </c>
      <c r="D139" s="4">
        <v>229.5</v>
      </c>
    </row>
    <row r="140" spans="1:4" x14ac:dyDescent="0.3">
      <c r="A140" s="4" t="s">
        <v>145</v>
      </c>
      <c r="B140" s="4" t="s">
        <v>209</v>
      </c>
      <c r="C140" s="4" t="s">
        <v>215</v>
      </c>
      <c r="D140" s="4">
        <v>231</v>
      </c>
    </row>
    <row r="141" spans="1:4" x14ac:dyDescent="0.3">
      <c r="A141" s="4" t="s">
        <v>146</v>
      </c>
      <c r="B141" s="4" t="s">
        <v>210</v>
      </c>
      <c r="C141" s="4" t="s">
        <v>216</v>
      </c>
      <c r="D141" s="4">
        <v>232.5</v>
      </c>
    </row>
    <row r="142" spans="1:4" x14ac:dyDescent="0.3">
      <c r="A142" s="4" t="s">
        <v>147</v>
      </c>
      <c r="B142" s="4" t="s">
        <v>213</v>
      </c>
      <c r="C142" s="4" t="s">
        <v>215</v>
      </c>
      <c r="D142" s="4">
        <v>234</v>
      </c>
    </row>
    <row r="143" spans="1:4" ht="28.8" x14ac:dyDescent="0.3">
      <c r="A143" s="4" t="s">
        <v>148</v>
      </c>
      <c r="B143" s="4" t="s">
        <v>212</v>
      </c>
      <c r="C143" s="4" t="s">
        <v>215</v>
      </c>
      <c r="D143" s="4">
        <v>235.5</v>
      </c>
    </row>
    <row r="144" spans="1:4" x14ac:dyDescent="0.3">
      <c r="A144" s="4" t="s">
        <v>149</v>
      </c>
      <c r="B144" s="4" t="s">
        <v>211</v>
      </c>
      <c r="C144" s="4" t="s">
        <v>215</v>
      </c>
      <c r="D144" s="4">
        <v>237</v>
      </c>
    </row>
    <row r="145" spans="1:4" x14ac:dyDescent="0.3">
      <c r="A145" s="4" t="s">
        <v>150</v>
      </c>
      <c r="B145" s="4" t="s">
        <v>209</v>
      </c>
      <c r="C145" s="4" t="s">
        <v>215</v>
      </c>
      <c r="D145" s="4">
        <v>238.5</v>
      </c>
    </row>
    <row r="146" spans="1:4" x14ac:dyDescent="0.3">
      <c r="A146" s="4" t="s">
        <v>151</v>
      </c>
      <c r="B146" s="4" t="s">
        <v>210</v>
      </c>
      <c r="C146" s="4" t="s">
        <v>216</v>
      </c>
      <c r="D146" s="4">
        <v>240</v>
      </c>
    </row>
    <row r="147" spans="1:4" x14ac:dyDescent="0.3">
      <c r="A147" s="4" t="s">
        <v>152</v>
      </c>
      <c r="B147" s="4" t="s">
        <v>213</v>
      </c>
      <c r="C147" s="4" t="s">
        <v>215</v>
      </c>
      <c r="D147" s="4">
        <v>241.5</v>
      </c>
    </row>
    <row r="148" spans="1:4" ht="28.8" x14ac:dyDescent="0.3">
      <c r="A148" s="4" t="s">
        <v>153</v>
      </c>
      <c r="B148" s="4" t="s">
        <v>212</v>
      </c>
      <c r="C148" s="4" t="s">
        <v>215</v>
      </c>
      <c r="D148" s="4">
        <v>243</v>
      </c>
    </row>
    <row r="149" spans="1:4" x14ac:dyDescent="0.3">
      <c r="A149" s="4" t="s">
        <v>154</v>
      </c>
      <c r="B149" s="4" t="s">
        <v>211</v>
      </c>
      <c r="C149" s="4" t="s">
        <v>215</v>
      </c>
      <c r="D149" s="4">
        <v>244.5</v>
      </c>
    </row>
    <row r="150" spans="1:4" x14ac:dyDescent="0.3">
      <c r="A150" s="4" t="s">
        <v>155</v>
      </c>
      <c r="B150" s="4" t="s">
        <v>209</v>
      </c>
      <c r="C150" s="4" t="s">
        <v>215</v>
      </c>
      <c r="D150" s="4">
        <v>246</v>
      </c>
    </row>
    <row r="151" spans="1:4" x14ac:dyDescent="0.3">
      <c r="A151" s="4" t="s">
        <v>156</v>
      </c>
      <c r="B151" s="4" t="s">
        <v>210</v>
      </c>
      <c r="C151" s="4" t="s">
        <v>216</v>
      </c>
      <c r="D151" s="4">
        <v>247.5</v>
      </c>
    </row>
    <row r="152" spans="1:4" x14ac:dyDescent="0.3">
      <c r="A152" s="4" t="s">
        <v>157</v>
      </c>
      <c r="B152" s="4" t="s">
        <v>213</v>
      </c>
      <c r="C152" s="4" t="s">
        <v>215</v>
      </c>
      <c r="D152" s="4">
        <v>249</v>
      </c>
    </row>
    <row r="153" spans="1:4" ht="28.8" x14ac:dyDescent="0.3">
      <c r="A153" s="4" t="s">
        <v>158</v>
      </c>
      <c r="B153" s="4" t="s">
        <v>212</v>
      </c>
      <c r="C153" s="4" t="s">
        <v>215</v>
      </c>
      <c r="D153" s="4">
        <v>250.5</v>
      </c>
    </row>
    <row r="154" spans="1:4" x14ac:dyDescent="0.3">
      <c r="A154" s="4" t="s">
        <v>159</v>
      </c>
      <c r="B154" s="4" t="s">
        <v>211</v>
      </c>
      <c r="C154" s="4" t="s">
        <v>215</v>
      </c>
      <c r="D154" s="4">
        <v>252</v>
      </c>
    </row>
    <row r="155" spans="1:4" x14ac:dyDescent="0.3">
      <c r="A155" s="4" t="s">
        <v>160</v>
      </c>
      <c r="B155" s="4" t="s">
        <v>209</v>
      </c>
      <c r="C155" s="4" t="s">
        <v>215</v>
      </c>
      <c r="D155" s="4">
        <v>253.5</v>
      </c>
    </row>
    <row r="156" spans="1:4" x14ac:dyDescent="0.3">
      <c r="A156" s="4" t="s">
        <v>161</v>
      </c>
      <c r="B156" s="4" t="s">
        <v>210</v>
      </c>
      <c r="C156" s="4" t="s">
        <v>216</v>
      </c>
      <c r="D156" s="4">
        <v>255</v>
      </c>
    </row>
    <row r="157" spans="1:4" x14ac:dyDescent="0.3">
      <c r="A157" s="4" t="s">
        <v>162</v>
      </c>
      <c r="B157" s="4" t="s">
        <v>213</v>
      </c>
      <c r="C157" s="4" t="s">
        <v>215</v>
      </c>
      <c r="D157" s="4">
        <v>256.5</v>
      </c>
    </row>
    <row r="158" spans="1:4" ht="28.8" x14ac:dyDescent="0.3">
      <c r="A158" s="4" t="s">
        <v>163</v>
      </c>
      <c r="B158" s="4" t="s">
        <v>212</v>
      </c>
      <c r="C158" s="4" t="s">
        <v>215</v>
      </c>
      <c r="D158" s="4">
        <v>258</v>
      </c>
    </row>
    <row r="159" spans="1:4" x14ac:dyDescent="0.3">
      <c r="A159" s="4" t="s">
        <v>164</v>
      </c>
      <c r="B159" s="4" t="s">
        <v>211</v>
      </c>
      <c r="C159" s="4" t="s">
        <v>215</v>
      </c>
      <c r="D159" s="4">
        <v>259.5</v>
      </c>
    </row>
    <row r="160" spans="1:4" x14ac:dyDescent="0.3">
      <c r="A160" s="4" t="s">
        <v>165</v>
      </c>
      <c r="B160" s="4" t="s">
        <v>209</v>
      </c>
      <c r="C160" s="4" t="s">
        <v>215</v>
      </c>
      <c r="D160" s="4">
        <v>261</v>
      </c>
    </row>
    <row r="161" spans="1:4" x14ac:dyDescent="0.3">
      <c r="A161" s="4" t="s">
        <v>166</v>
      </c>
      <c r="B161" s="4" t="s">
        <v>210</v>
      </c>
      <c r="C161" s="4" t="s">
        <v>216</v>
      </c>
      <c r="D161" s="4">
        <v>262.5</v>
      </c>
    </row>
    <row r="162" spans="1:4" x14ac:dyDescent="0.3">
      <c r="A162" s="4" t="s">
        <v>167</v>
      </c>
      <c r="B162" s="4" t="s">
        <v>213</v>
      </c>
      <c r="C162" s="4" t="s">
        <v>215</v>
      </c>
      <c r="D162" s="4">
        <v>264</v>
      </c>
    </row>
    <row r="163" spans="1:4" ht="28.8" x14ac:dyDescent="0.3">
      <c r="A163" s="4" t="s">
        <v>168</v>
      </c>
      <c r="B163" s="4" t="s">
        <v>212</v>
      </c>
      <c r="C163" s="4" t="s">
        <v>215</v>
      </c>
      <c r="D163" s="4">
        <v>265.5</v>
      </c>
    </row>
    <row r="164" spans="1:4" x14ac:dyDescent="0.3">
      <c r="A164" s="4" t="s">
        <v>169</v>
      </c>
      <c r="B164" s="4" t="s">
        <v>211</v>
      </c>
      <c r="C164" s="4" t="s">
        <v>215</v>
      </c>
      <c r="D164" s="4">
        <v>267</v>
      </c>
    </row>
    <row r="165" spans="1:4" x14ac:dyDescent="0.3">
      <c r="A165" s="4" t="s">
        <v>170</v>
      </c>
      <c r="B165" s="4" t="s">
        <v>209</v>
      </c>
      <c r="C165" s="4" t="s">
        <v>215</v>
      </c>
      <c r="D165" s="4">
        <v>268.5</v>
      </c>
    </row>
    <row r="166" spans="1:4" x14ac:dyDescent="0.3">
      <c r="A166" s="4" t="s">
        <v>171</v>
      </c>
      <c r="B166" s="4" t="s">
        <v>210</v>
      </c>
      <c r="C166" s="4" t="s">
        <v>216</v>
      </c>
      <c r="D166" s="4">
        <v>270</v>
      </c>
    </row>
    <row r="167" spans="1:4" x14ac:dyDescent="0.3">
      <c r="A167" s="4" t="s">
        <v>172</v>
      </c>
      <c r="B167" s="4" t="s">
        <v>213</v>
      </c>
      <c r="C167" s="4" t="s">
        <v>215</v>
      </c>
      <c r="D167" s="4">
        <v>271.5</v>
      </c>
    </row>
    <row r="168" spans="1:4" ht="28.8" x14ac:dyDescent="0.3">
      <c r="A168" s="4" t="s">
        <v>173</v>
      </c>
      <c r="B168" s="4" t="s">
        <v>212</v>
      </c>
      <c r="C168" s="4" t="s">
        <v>215</v>
      </c>
      <c r="D168" s="4">
        <v>273</v>
      </c>
    </row>
    <row r="169" spans="1:4" x14ac:dyDescent="0.3">
      <c r="A169" s="4" t="s">
        <v>174</v>
      </c>
      <c r="B169" s="4" t="s">
        <v>211</v>
      </c>
      <c r="C169" s="4" t="s">
        <v>215</v>
      </c>
      <c r="D169" s="4">
        <v>274.5</v>
      </c>
    </row>
    <row r="170" spans="1:4" x14ac:dyDescent="0.3">
      <c r="A170" s="4" t="s">
        <v>175</v>
      </c>
      <c r="B170" s="4" t="s">
        <v>209</v>
      </c>
      <c r="C170" s="4" t="s">
        <v>215</v>
      </c>
      <c r="D170" s="4">
        <v>276</v>
      </c>
    </row>
    <row r="171" spans="1:4" x14ac:dyDescent="0.3">
      <c r="A171" s="4" t="s">
        <v>176</v>
      </c>
      <c r="B171" s="4" t="s">
        <v>210</v>
      </c>
      <c r="C171" s="4" t="s">
        <v>216</v>
      </c>
      <c r="D171" s="4">
        <v>277.5</v>
      </c>
    </row>
    <row r="172" spans="1:4" x14ac:dyDescent="0.3">
      <c r="A172" s="4" t="s">
        <v>177</v>
      </c>
      <c r="B172" s="4" t="s">
        <v>213</v>
      </c>
      <c r="C172" s="4" t="s">
        <v>215</v>
      </c>
      <c r="D172" s="4">
        <v>279</v>
      </c>
    </row>
    <row r="173" spans="1:4" ht="28.8" x14ac:dyDescent="0.3">
      <c r="A173" s="4" t="s">
        <v>178</v>
      </c>
      <c r="B173" s="4" t="s">
        <v>212</v>
      </c>
      <c r="C173" s="4" t="s">
        <v>215</v>
      </c>
      <c r="D173" s="4">
        <v>280.5</v>
      </c>
    </row>
    <row r="174" spans="1:4" x14ac:dyDescent="0.3">
      <c r="A174" s="4" t="s">
        <v>179</v>
      </c>
      <c r="B174" s="4" t="s">
        <v>211</v>
      </c>
      <c r="C174" s="4" t="s">
        <v>215</v>
      </c>
      <c r="D174" s="4">
        <v>282</v>
      </c>
    </row>
    <row r="175" spans="1:4" x14ac:dyDescent="0.3">
      <c r="A175" s="4" t="s">
        <v>180</v>
      </c>
      <c r="B175" s="4" t="s">
        <v>209</v>
      </c>
      <c r="C175" s="4" t="s">
        <v>215</v>
      </c>
      <c r="D175" s="4">
        <v>283.5</v>
      </c>
    </row>
    <row r="176" spans="1:4" x14ac:dyDescent="0.3">
      <c r="A176" s="4" t="s">
        <v>181</v>
      </c>
      <c r="B176" s="4" t="s">
        <v>210</v>
      </c>
      <c r="C176" s="4" t="s">
        <v>216</v>
      </c>
      <c r="D176" s="4">
        <v>285</v>
      </c>
    </row>
    <row r="177" spans="1:4" x14ac:dyDescent="0.3">
      <c r="A177" s="4" t="s">
        <v>182</v>
      </c>
      <c r="B177" s="4" t="s">
        <v>213</v>
      </c>
      <c r="C177" s="4" t="s">
        <v>215</v>
      </c>
      <c r="D177" s="4">
        <v>286.5</v>
      </c>
    </row>
    <row r="178" spans="1:4" ht="28.8" x14ac:dyDescent="0.3">
      <c r="A178" s="4" t="s">
        <v>183</v>
      </c>
      <c r="B178" s="4" t="s">
        <v>212</v>
      </c>
      <c r="C178" s="4" t="s">
        <v>215</v>
      </c>
      <c r="D178" s="4">
        <v>288</v>
      </c>
    </row>
    <row r="179" spans="1:4" x14ac:dyDescent="0.3">
      <c r="A179" s="4" t="s">
        <v>184</v>
      </c>
      <c r="B179" s="4" t="s">
        <v>211</v>
      </c>
      <c r="C179" s="4" t="s">
        <v>215</v>
      </c>
      <c r="D179" s="4">
        <v>289.5</v>
      </c>
    </row>
    <row r="180" spans="1:4" x14ac:dyDescent="0.3">
      <c r="A180" s="4" t="s">
        <v>185</v>
      </c>
      <c r="B180" s="4" t="s">
        <v>209</v>
      </c>
      <c r="C180" s="4" t="s">
        <v>215</v>
      </c>
      <c r="D180" s="4">
        <v>291</v>
      </c>
    </row>
    <row r="181" spans="1:4" x14ac:dyDescent="0.3">
      <c r="A181" s="4" t="s">
        <v>186</v>
      </c>
      <c r="B181" s="4" t="s">
        <v>210</v>
      </c>
      <c r="C181" s="4" t="s">
        <v>216</v>
      </c>
      <c r="D181" s="4">
        <v>292.5</v>
      </c>
    </row>
    <row r="182" spans="1:4" x14ac:dyDescent="0.3">
      <c r="A182" s="4" t="s">
        <v>187</v>
      </c>
      <c r="B182" s="4" t="s">
        <v>213</v>
      </c>
      <c r="C182" s="4" t="s">
        <v>215</v>
      </c>
      <c r="D182" s="4">
        <v>294</v>
      </c>
    </row>
    <row r="183" spans="1:4" ht="28.8" x14ac:dyDescent="0.3">
      <c r="A183" s="4" t="s">
        <v>188</v>
      </c>
      <c r="B183" s="4" t="s">
        <v>212</v>
      </c>
      <c r="C183" s="4" t="s">
        <v>215</v>
      </c>
      <c r="D183" s="4">
        <v>295.5</v>
      </c>
    </row>
    <row r="184" spans="1:4" x14ac:dyDescent="0.3">
      <c r="A184" s="4" t="s">
        <v>189</v>
      </c>
      <c r="B184" s="4" t="s">
        <v>211</v>
      </c>
      <c r="C184" s="4" t="s">
        <v>215</v>
      </c>
      <c r="D184" s="4">
        <v>297</v>
      </c>
    </row>
    <row r="185" spans="1:4" x14ac:dyDescent="0.3">
      <c r="A185" s="4" t="s">
        <v>190</v>
      </c>
      <c r="B185" s="4" t="s">
        <v>209</v>
      </c>
      <c r="C185" s="4" t="s">
        <v>215</v>
      </c>
      <c r="D185" s="4">
        <v>298.5</v>
      </c>
    </row>
    <row r="186" spans="1:4" x14ac:dyDescent="0.3">
      <c r="A186" s="4" t="s">
        <v>191</v>
      </c>
      <c r="B186" s="4" t="s">
        <v>210</v>
      </c>
      <c r="C186" s="4" t="s">
        <v>216</v>
      </c>
      <c r="D186" s="4">
        <v>300</v>
      </c>
    </row>
    <row r="187" spans="1:4" x14ac:dyDescent="0.3">
      <c r="A187" s="4" t="s">
        <v>192</v>
      </c>
      <c r="B187" s="4" t="s">
        <v>213</v>
      </c>
      <c r="C187" s="4" t="s">
        <v>215</v>
      </c>
      <c r="D187" s="4">
        <v>301.5</v>
      </c>
    </row>
    <row r="188" spans="1:4" ht="28.8" x14ac:dyDescent="0.3">
      <c r="A188" s="4" t="s">
        <v>193</v>
      </c>
      <c r="B188" s="4" t="s">
        <v>212</v>
      </c>
      <c r="C188" s="4" t="s">
        <v>215</v>
      </c>
      <c r="D188" s="4">
        <v>303</v>
      </c>
    </row>
    <row r="189" spans="1:4" x14ac:dyDescent="0.3">
      <c r="A189" s="4" t="s">
        <v>194</v>
      </c>
      <c r="B189" s="4" t="s">
        <v>211</v>
      </c>
      <c r="C189" s="4" t="s">
        <v>215</v>
      </c>
      <c r="D189" s="4">
        <v>304.5</v>
      </c>
    </row>
    <row r="190" spans="1:4" x14ac:dyDescent="0.3">
      <c r="A190" s="4" t="s">
        <v>195</v>
      </c>
      <c r="B190" s="4" t="s">
        <v>209</v>
      </c>
      <c r="C190" s="4" t="s">
        <v>215</v>
      </c>
      <c r="D190" s="4">
        <v>306</v>
      </c>
    </row>
    <row r="191" spans="1:4" x14ac:dyDescent="0.3">
      <c r="A191" s="4" t="s">
        <v>196</v>
      </c>
      <c r="B191" s="4" t="s">
        <v>210</v>
      </c>
      <c r="C191" s="4" t="s">
        <v>216</v>
      </c>
      <c r="D191" s="4">
        <v>307.5</v>
      </c>
    </row>
    <row r="192" spans="1:4" x14ac:dyDescent="0.3">
      <c r="A192" s="4" t="s">
        <v>197</v>
      </c>
      <c r="B192" s="4" t="s">
        <v>213</v>
      </c>
      <c r="C192" s="4" t="s">
        <v>215</v>
      </c>
      <c r="D192" s="4">
        <v>309</v>
      </c>
    </row>
    <row r="193" spans="1:4" ht="28.8" x14ac:dyDescent="0.3">
      <c r="A193" s="4" t="s">
        <v>198</v>
      </c>
      <c r="B193" s="4" t="s">
        <v>212</v>
      </c>
      <c r="C193" s="4" t="s">
        <v>215</v>
      </c>
      <c r="D193" s="4">
        <v>310.5</v>
      </c>
    </row>
    <row r="194" spans="1:4" x14ac:dyDescent="0.3">
      <c r="A194" s="4" t="s">
        <v>199</v>
      </c>
      <c r="B194" s="4" t="s">
        <v>211</v>
      </c>
      <c r="C194" s="4" t="s">
        <v>215</v>
      </c>
      <c r="D194" s="4">
        <v>312</v>
      </c>
    </row>
    <row r="195" spans="1:4" x14ac:dyDescent="0.3">
      <c r="A195" s="4" t="s">
        <v>200</v>
      </c>
      <c r="B195" s="4" t="s">
        <v>209</v>
      </c>
      <c r="C195" s="4" t="s">
        <v>215</v>
      </c>
      <c r="D195" s="4">
        <v>313.5</v>
      </c>
    </row>
    <row r="196" spans="1:4" x14ac:dyDescent="0.3">
      <c r="A196" s="4" t="s">
        <v>201</v>
      </c>
      <c r="B196" s="4" t="s">
        <v>210</v>
      </c>
      <c r="C196" s="4" t="s">
        <v>216</v>
      </c>
      <c r="D196" s="4">
        <v>315</v>
      </c>
    </row>
    <row r="197" spans="1:4" x14ac:dyDescent="0.3">
      <c r="A197" s="4" t="s">
        <v>202</v>
      </c>
      <c r="B197" s="4" t="s">
        <v>213</v>
      </c>
      <c r="C197" s="4" t="s">
        <v>215</v>
      </c>
      <c r="D197" s="4">
        <v>316.5</v>
      </c>
    </row>
    <row r="198" spans="1:4" ht="28.8" x14ac:dyDescent="0.3">
      <c r="A198" s="4" t="s">
        <v>203</v>
      </c>
      <c r="B198" s="4" t="s">
        <v>212</v>
      </c>
      <c r="C198" s="4" t="s">
        <v>215</v>
      </c>
      <c r="D198" s="4">
        <v>318</v>
      </c>
    </row>
    <row r="199" spans="1:4" x14ac:dyDescent="0.3">
      <c r="A199" s="4" t="s">
        <v>204</v>
      </c>
      <c r="B199" s="4" t="s">
        <v>211</v>
      </c>
      <c r="C199" s="4" t="s">
        <v>215</v>
      </c>
      <c r="D199" s="4">
        <v>319.5</v>
      </c>
    </row>
    <row r="200" spans="1:4" x14ac:dyDescent="0.3">
      <c r="A200" s="4" t="s">
        <v>205</v>
      </c>
      <c r="B200" s="4" t="s">
        <v>209</v>
      </c>
      <c r="C200" s="4" t="s">
        <v>215</v>
      </c>
      <c r="D200" s="4">
        <v>321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635B-9B64-4D66-A740-3BA59D71D39B}">
  <dimension ref="A1:H200"/>
  <sheetViews>
    <sheetView tabSelected="1" workbookViewId="0">
      <selection activeCell="O16" sqref="O16"/>
    </sheetView>
  </sheetViews>
  <sheetFormatPr defaultRowHeight="14.4" x14ac:dyDescent="0.3"/>
  <cols>
    <col min="1" max="1" width="10.33203125" bestFit="1" customWidth="1"/>
    <col min="6" max="6" width="10.44140625" customWidth="1"/>
    <col min="7" max="7" width="9.77734375" customWidth="1"/>
  </cols>
  <sheetData>
    <row r="1" spans="1: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206</v>
      </c>
    </row>
    <row r="2" spans="1:8" x14ac:dyDescent="0.3">
      <c r="A2" s="3">
        <v>45658</v>
      </c>
      <c r="B2" s="1" t="s">
        <v>0</v>
      </c>
      <c r="C2" s="4">
        <v>10</v>
      </c>
      <c r="D2" s="4">
        <v>10</v>
      </c>
      <c r="E2" t="str">
        <f>VLOOKUP(Table2[[#This Row],[Code]],[1]!Table1[#All],2,FALSE)</f>
        <v>Pen</v>
      </c>
      <c r="F2" t="str" cm="1">
        <f t="array" ref="F2">_xlfn.XLOOKUP(Table2[[#This Row],[Code]],[1]!Table1[[#All],[CODE]],[1]!Table1[[#All],[Category]])</f>
        <v>Stationery</v>
      </c>
      <c r="G2" cm="1">
        <f t="array" ref="G2">_xlfn.XLOOKUP(Table2[[#This Row],[Code]],[1]!Table1[[#All],[CODE]],[1]!Table1[[#All],[Rate]])</f>
        <v>10</v>
      </c>
      <c r="H2" s="5"/>
    </row>
    <row r="3" spans="1:8" x14ac:dyDescent="0.3">
      <c r="A3" s="3">
        <v>45658</v>
      </c>
      <c r="B3" s="1" t="s">
        <v>1</v>
      </c>
      <c r="C3" s="4">
        <v>5</v>
      </c>
      <c r="D3" s="4">
        <v>50</v>
      </c>
      <c r="E3" t="str">
        <f>VLOOKUP(Table2[[#This Row],[Code]],[1]!Table1[#All],2,FALSE)</f>
        <v>Notebook</v>
      </c>
      <c r="F3" t="str" cm="1">
        <f t="array" ref="F3">_xlfn.XLOOKUP(Table2[[#This Row],[Code]],[1]!Table1[[#All],[CODE]],[1]!Table1[[#All],[Category]])</f>
        <v>Stationery</v>
      </c>
      <c r="G3" cm="1">
        <f t="array" ref="G3">_xlfn.XLOOKUP(Table2[[#This Row],[Code]],[1]!Table1[[#All],[CODE]],[1]!Table1[[#All],[Rate]])</f>
        <v>50</v>
      </c>
      <c r="H3" s="5"/>
    </row>
    <row r="4" spans="1:8" x14ac:dyDescent="0.3">
      <c r="A4" s="3">
        <v>45659</v>
      </c>
      <c r="B4" s="1" t="s">
        <v>2</v>
      </c>
      <c r="C4" s="4">
        <v>7</v>
      </c>
      <c r="D4" s="4">
        <v>30</v>
      </c>
      <c r="E4" t="str">
        <f>VLOOKUP(Table2[[#This Row],[Code]],[1]!Table1[#All],2,FALSE)</f>
        <v>Marker</v>
      </c>
      <c r="F4" t="str" cm="1">
        <f t="array" ref="F4">_xlfn.XLOOKUP(Table2[[#This Row],[Code]],[1]!Table1[[#All],[CODE]],[1]!Table1[[#All],[Category]])</f>
        <v>Stationery</v>
      </c>
      <c r="G4" cm="1">
        <f t="array" ref="G4">_xlfn.XLOOKUP(Table2[[#This Row],[Code]],[1]!Table1[[#All],[CODE]],[1]!Table1[[#All],[Rate]])</f>
        <v>30</v>
      </c>
      <c r="H4" s="5"/>
    </row>
    <row r="5" spans="1:8" x14ac:dyDescent="0.3">
      <c r="A5" s="3">
        <v>45659</v>
      </c>
      <c r="B5" s="1" t="s">
        <v>3</v>
      </c>
      <c r="C5" s="4">
        <v>20</v>
      </c>
      <c r="D5" s="4">
        <v>5</v>
      </c>
      <c r="E5" t="str">
        <f>VLOOKUP(Table2[[#This Row],[Code]],[1]!Table1[#All],2,FALSE)</f>
        <v>Eraser</v>
      </c>
      <c r="F5" t="str" cm="1">
        <f t="array" ref="F5">_xlfn.XLOOKUP(Table2[[#This Row],[Code]],[1]!Table1[[#All],[CODE]],[1]!Table1[[#All],[Category]])</f>
        <v>Stationery</v>
      </c>
      <c r="G5" cm="1">
        <f t="array" ref="G5">_xlfn.XLOOKUP(Table2[[#This Row],[Code]],[1]!Table1[[#All],[CODE]],[1]!Table1[[#All],[Rate]])</f>
        <v>5</v>
      </c>
      <c r="H5" s="5"/>
    </row>
    <row r="6" spans="1:8" x14ac:dyDescent="0.3">
      <c r="A6" s="3">
        <v>45660</v>
      </c>
      <c r="B6" s="1" t="s">
        <v>4</v>
      </c>
      <c r="C6" s="4">
        <v>4</v>
      </c>
      <c r="D6" s="4">
        <v>40</v>
      </c>
      <c r="E6" t="str">
        <f>VLOOKUP(Table2[[#This Row],[Code]],[1]!Table1[#All],2,FALSE)</f>
        <v>File</v>
      </c>
      <c r="F6" t="str" cm="1">
        <f t="array" ref="F6">_xlfn.XLOOKUP(Table2[[#This Row],[Code]],[1]!Table1[[#All],[CODE]],[1]!Table1[[#All],[Category]])</f>
        <v>Office</v>
      </c>
      <c r="G6" cm="1">
        <f t="array" ref="G6">_xlfn.XLOOKUP(Table2[[#This Row],[Code]],[1]!Table1[[#All],[CODE]],[1]!Table1[[#All],[Rate]])</f>
        <v>40</v>
      </c>
      <c r="H6" s="5"/>
    </row>
    <row r="7" spans="1:8" x14ac:dyDescent="0.3">
      <c r="A7" s="3">
        <v>45658</v>
      </c>
      <c r="B7" s="1" t="s">
        <v>12</v>
      </c>
      <c r="C7" s="4">
        <v>10.1</v>
      </c>
      <c r="D7" s="4">
        <v>31.5</v>
      </c>
      <c r="E7" t="str">
        <f>VLOOKUP(Table2[[#This Row],[Code]],[1]!Table1[#All],2,FALSE)</f>
        <v>Pen</v>
      </c>
      <c r="F7" t="str" cm="1">
        <f t="array" ref="F7">_xlfn.XLOOKUP(Table2[[#This Row],[Code]],[1]!Table1[[#All],[CODE]],[1]!Table1[[#All],[Category]])</f>
        <v>Stationery</v>
      </c>
      <c r="G7" cm="1">
        <f t="array" ref="G7">_xlfn.XLOOKUP(Table2[[#This Row],[Code]],[1]!Table1[[#All],[CODE]],[1]!Table1[[#All],[Rate]])</f>
        <v>31.5</v>
      </c>
      <c r="H7" s="5"/>
    </row>
    <row r="8" spans="1:8" x14ac:dyDescent="0.3">
      <c r="A8" s="3">
        <v>45658</v>
      </c>
      <c r="B8" s="1" t="s">
        <v>13</v>
      </c>
      <c r="C8" s="4">
        <v>10.4</v>
      </c>
      <c r="D8" s="4">
        <v>33</v>
      </c>
      <c r="E8" t="str">
        <f>VLOOKUP(Table2[[#This Row],[Code]],[1]!Table1[#All],2,FALSE)</f>
        <v>Notebook</v>
      </c>
      <c r="F8" t="str" cm="1">
        <f t="array" ref="F8">_xlfn.XLOOKUP(Table2[[#This Row],[Code]],[1]!Table1[[#All],[CODE]],[1]!Table1[[#All],[Category]])</f>
        <v>Stationery</v>
      </c>
      <c r="G8" cm="1">
        <f t="array" ref="G8">_xlfn.XLOOKUP(Table2[[#This Row],[Code]],[1]!Table1[[#All],[CODE]],[1]!Table1[[#All],[Rate]])</f>
        <v>33</v>
      </c>
      <c r="H8" s="5"/>
    </row>
    <row r="9" spans="1:8" x14ac:dyDescent="0.3">
      <c r="A9" s="3">
        <v>45659</v>
      </c>
      <c r="B9" s="1" t="s">
        <v>14</v>
      </c>
      <c r="C9" s="4">
        <v>10.7</v>
      </c>
      <c r="D9" s="4">
        <v>34.5</v>
      </c>
      <c r="E9" t="str">
        <f>VLOOKUP(Table2[[#This Row],[Code]],[1]!Table1[#All],2,FALSE)</f>
        <v>Marker</v>
      </c>
      <c r="F9" t="str" cm="1">
        <f t="array" ref="F9">_xlfn.XLOOKUP(Table2[[#This Row],[Code]],[1]!Table1[[#All],[CODE]],[1]!Table1[[#All],[Category]])</f>
        <v>Stationery</v>
      </c>
      <c r="G9" cm="1">
        <f t="array" ref="G9">_xlfn.XLOOKUP(Table2[[#This Row],[Code]],[1]!Table1[[#All],[CODE]],[1]!Table1[[#All],[Rate]])</f>
        <v>34.5</v>
      </c>
      <c r="H9" s="5"/>
    </row>
    <row r="10" spans="1:8" x14ac:dyDescent="0.3">
      <c r="A10" s="3">
        <v>45659</v>
      </c>
      <c r="B10" s="1" t="s">
        <v>15</v>
      </c>
      <c r="C10" s="4">
        <v>11</v>
      </c>
      <c r="D10" s="4">
        <v>36</v>
      </c>
      <c r="E10" t="str">
        <f>VLOOKUP(Table2[[#This Row],[Code]],[1]!Table1[#All],2,FALSE)</f>
        <v>Eraser</v>
      </c>
      <c r="F10" t="str" cm="1">
        <f t="array" ref="F10">_xlfn.XLOOKUP(Table2[[#This Row],[Code]],[1]!Table1[[#All],[CODE]],[1]!Table1[[#All],[Category]])</f>
        <v>Stationery</v>
      </c>
      <c r="G10" cm="1">
        <f t="array" ref="G10">_xlfn.XLOOKUP(Table2[[#This Row],[Code]],[1]!Table1[[#All],[CODE]],[1]!Table1[[#All],[Rate]])</f>
        <v>36</v>
      </c>
      <c r="H10" s="5"/>
    </row>
    <row r="11" spans="1:8" x14ac:dyDescent="0.3">
      <c r="A11" s="3">
        <v>45660</v>
      </c>
      <c r="B11" s="1" t="s">
        <v>16</v>
      </c>
      <c r="C11" s="4">
        <v>11.3</v>
      </c>
      <c r="D11" s="4">
        <v>37.5</v>
      </c>
      <c r="E11" t="str">
        <f>VLOOKUP(Table2[[#This Row],[Code]],[1]!Table1[#All],2,FALSE)</f>
        <v>File</v>
      </c>
      <c r="F11" t="str" cm="1">
        <f t="array" ref="F11">_xlfn.XLOOKUP(Table2[[#This Row],[Code]],[1]!Table1[[#All],[CODE]],[1]!Table1[[#All],[Category]])</f>
        <v>Office</v>
      </c>
      <c r="G11" cm="1">
        <f t="array" ref="G11">_xlfn.XLOOKUP(Table2[[#This Row],[Code]],[1]!Table1[[#All],[CODE]],[1]!Table1[[#All],[Rate]])</f>
        <v>37.5</v>
      </c>
      <c r="H11" s="5"/>
    </row>
    <row r="12" spans="1:8" x14ac:dyDescent="0.3">
      <c r="A12" s="3">
        <v>45658</v>
      </c>
      <c r="B12" s="1" t="s">
        <v>17</v>
      </c>
      <c r="C12" s="4">
        <v>11.6</v>
      </c>
      <c r="D12" s="4">
        <v>39</v>
      </c>
      <c r="E12" t="str">
        <f>VLOOKUP(Table2[[#This Row],[Code]],[1]!Table1[#All],2,FALSE)</f>
        <v>Pen</v>
      </c>
      <c r="F12" t="str" cm="1">
        <f t="array" ref="F12">_xlfn.XLOOKUP(Table2[[#This Row],[Code]],[1]!Table1[[#All],[CODE]],[1]!Table1[[#All],[Category]])</f>
        <v>Stationery</v>
      </c>
      <c r="G12" cm="1">
        <f t="array" ref="G12">_xlfn.XLOOKUP(Table2[[#This Row],[Code]],[1]!Table1[[#All],[CODE]],[1]!Table1[[#All],[Rate]])</f>
        <v>39</v>
      </c>
      <c r="H12" s="5"/>
    </row>
    <row r="13" spans="1:8" x14ac:dyDescent="0.3">
      <c r="A13" s="3">
        <v>45658</v>
      </c>
      <c r="B13" s="1" t="s">
        <v>18</v>
      </c>
      <c r="C13" s="4">
        <v>11.9</v>
      </c>
      <c r="D13" s="4">
        <v>40.5</v>
      </c>
      <c r="E13" t="str">
        <f>VLOOKUP(Table2[[#This Row],[Code]],[1]!Table1[#All],2,FALSE)</f>
        <v>Notebook</v>
      </c>
      <c r="F13" t="str" cm="1">
        <f t="array" ref="F13">_xlfn.XLOOKUP(Table2[[#This Row],[Code]],[1]!Table1[[#All],[CODE]],[1]!Table1[[#All],[Category]])</f>
        <v>Stationery</v>
      </c>
      <c r="G13" cm="1">
        <f t="array" ref="G13">_xlfn.XLOOKUP(Table2[[#This Row],[Code]],[1]!Table1[[#All],[CODE]],[1]!Table1[[#All],[Rate]])</f>
        <v>40.5</v>
      </c>
      <c r="H13" s="5"/>
    </row>
    <row r="14" spans="1:8" x14ac:dyDescent="0.3">
      <c r="A14" s="3">
        <v>45659</v>
      </c>
      <c r="B14" s="1" t="s">
        <v>19</v>
      </c>
      <c r="C14" s="4">
        <v>12.2</v>
      </c>
      <c r="D14" s="4">
        <v>42</v>
      </c>
      <c r="E14" t="str">
        <f>VLOOKUP(Table2[[#This Row],[Code]],[1]!Table1[#All],2,FALSE)</f>
        <v>Marker</v>
      </c>
      <c r="F14" t="str" cm="1">
        <f t="array" ref="F14">_xlfn.XLOOKUP(Table2[[#This Row],[Code]],[1]!Table1[[#All],[CODE]],[1]!Table1[[#All],[Category]])</f>
        <v>Stationery</v>
      </c>
      <c r="G14" cm="1">
        <f t="array" ref="G14">_xlfn.XLOOKUP(Table2[[#This Row],[Code]],[1]!Table1[[#All],[CODE]],[1]!Table1[[#All],[Rate]])</f>
        <v>42</v>
      </c>
      <c r="H14" s="5"/>
    </row>
    <row r="15" spans="1:8" x14ac:dyDescent="0.3">
      <c r="A15" s="3">
        <v>45659</v>
      </c>
      <c r="B15" s="1" t="s">
        <v>20</v>
      </c>
      <c r="C15" s="4">
        <v>12.5</v>
      </c>
      <c r="D15" s="4">
        <v>43.5</v>
      </c>
      <c r="E15" t="str">
        <f>VLOOKUP(Table2[[#This Row],[Code]],[1]!Table1[#All],2,FALSE)</f>
        <v>Eraser</v>
      </c>
      <c r="F15" t="str" cm="1">
        <f t="array" ref="F15">_xlfn.XLOOKUP(Table2[[#This Row],[Code]],[1]!Table1[[#All],[CODE]],[1]!Table1[[#All],[Category]])</f>
        <v>Stationery</v>
      </c>
      <c r="G15" cm="1">
        <f t="array" ref="G15">_xlfn.XLOOKUP(Table2[[#This Row],[Code]],[1]!Table1[[#All],[CODE]],[1]!Table1[[#All],[Rate]])</f>
        <v>43.5</v>
      </c>
      <c r="H15" s="5"/>
    </row>
    <row r="16" spans="1:8" x14ac:dyDescent="0.3">
      <c r="A16" s="3">
        <v>45660</v>
      </c>
      <c r="B16" s="1" t="s">
        <v>21</v>
      </c>
      <c r="C16" s="4">
        <v>12.8</v>
      </c>
      <c r="D16" s="4">
        <v>45</v>
      </c>
      <c r="E16" t="str">
        <f>VLOOKUP(Table2[[#This Row],[Code]],[1]!Table1[#All],2,FALSE)</f>
        <v>File</v>
      </c>
      <c r="F16" t="str" cm="1">
        <f t="array" ref="F16">_xlfn.XLOOKUP(Table2[[#This Row],[Code]],[1]!Table1[[#All],[CODE]],[1]!Table1[[#All],[Category]])</f>
        <v>Office</v>
      </c>
      <c r="G16" cm="1">
        <f t="array" ref="G16">_xlfn.XLOOKUP(Table2[[#This Row],[Code]],[1]!Table1[[#All],[CODE]],[1]!Table1[[#All],[Rate]])</f>
        <v>45</v>
      </c>
      <c r="H16" s="5"/>
    </row>
    <row r="17" spans="1:8" x14ac:dyDescent="0.3">
      <c r="A17" s="3">
        <v>45658</v>
      </c>
      <c r="B17" s="1" t="s">
        <v>22</v>
      </c>
      <c r="C17" s="4">
        <v>13.1</v>
      </c>
      <c r="D17" s="4">
        <v>46.5</v>
      </c>
      <c r="E17" t="str">
        <f>VLOOKUP(Table2[[#This Row],[Code]],[1]!Table1[#All],2,FALSE)</f>
        <v>Pen</v>
      </c>
      <c r="F17" t="str" cm="1">
        <f t="array" ref="F17">_xlfn.XLOOKUP(Table2[[#This Row],[Code]],[1]!Table1[[#All],[CODE]],[1]!Table1[[#All],[Category]])</f>
        <v>Stationery</v>
      </c>
      <c r="G17" cm="1">
        <f t="array" ref="G17">_xlfn.XLOOKUP(Table2[[#This Row],[Code]],[1]!Table1[[#All],[CODE]],[1]!Table1[[#All],[Rate]])</f>
        <v>46.5</v>
      </c>
      <c r="H17" s="5"/>
    </row>
    <row r="18" spans="1:8" x14ac:dyDescent="0.3">
      <c r="A18" s="3">
        <v>45658</v>
      </c>
      <c r="B18" s="1" t="s">
        <v>23</v>
      </c>
      <c r="C18" s="4">
        <v>13.4</v>
      </c>
      <c r="D18" s="4">
        <v>48</v>
      </c>
      <c r="E18" t="str">
        <f>VLOOKUP(Table2[[#This Row],[Code]],[1]!Table1[#All],2,FALSE)</f>
        <v>Notebook</v>
      </c>
      <c r="F18" t="str" cm="1">
        <f t="array" ref="F18">_xlfn.XLOOKUP(Table2[[#This Row],[Code]],[1]!Table1[[#All],[CODE]],[1]!Table1[[#All],[Category]])</f>
        <v>Stationery</v>
      </c>
      <c r="G18" cm="1">
        <f t="array" ref="G18">_xlfn.XLOOKUP(Table2[[#This Row],[Code]],[1]!Table1[[#All],[CODE]],[1]!Table1[[#All],[Rate]])</f>
        <v>48</v>
      </c>
      <c r="H18" s="5"/>
    </row>
    <row r="19" spans="1:8" x14ac:dyDescent="0.3">
      <c r="A19" s="3">
        <v>45659</v>
      </c>
      <c r="B19" s="1" t="s">
        <v>24</v>
      </c>
      <c r="C19" s="4">
        <v>13.7</v>
      </c>
      <c r="D19" s="4">
        <v>49.5</v>
      </c>
      <c r="E19" t="str">
        <f>VLOOKUP(Table2[[#This Row],[Code]],[1]!Table1[#All],2,FALSE)</f>
        <v>Marker</v>
      </c>
      <c r="F19" t="str" cm="1">
        <f t="array" ref="F19">_xlfn.XLOOKUP(Table2[[#This Row],[Code]],[1]!Table1[[#All],[CODE]],[1]!Table1[[#All],[Category]])</f>
        <v>Stationery</v>
      </c>
      <c r="G19" cm="1">
        <f t="array" ref="G19">_xlfn.XLOOKUP(Table2[[#This Row],[Code]],[1]!Table1[[#All],[CODE]],[1]!Table1[[#All],[Rate]])</f>
        <v>49.5</v>
      </c>
      <c r="H19" s="5"/>
    </row>
    <row r="20" spans="1:8" x14ac:dyDescent="0.3">
      <c r="A20" s="3">
        <v>45659</v>
      </c>
      <c r="B20" s="1" t="s">
        <v>25</v>
      </c>
      <c r="C20" s="4">
        <v>14</v>
      </c>
      <c r="D20" s="4">
        <v>51</v>
      </c>
      <c r="E20" t="str">
        <f>VLOOKUP(Table2[[#This Row],[Code]],[1]!Table1[#All],2,FALSE)</f>
        <v>Eraser</v>
      </c>
      <c r="F20" t="str" cm="1">
        <f t="array" ref="F20">_xlfn.XLOOKUP(Table2[[#This Row],[Code]],[1]!Table1[[#All],[CODE]],[1]!Table1[[#All],[Category]])</f>
        <v>Stationery</v>
      </c>
      <c r="G20" cm="1">
        <f t="array" ref="G20">_xlfn.XLOOKUP(Table2[[#This Row],[Code]],[1]!Table1[[#All],[CODE]],[1]!Table1[[#All],[Rate]])</f>
        <v>51</v>
      </c>
      <c r="H20" s="5"/>
    </row>
    <row r="21" spans="1:8" x14ac:dyDescent="0.3">
      <c r="A21" s="3">
        <v>45660</v>
      </c>
      <c r="B21" s="1" t="s">
        <v>26</v>
      </c>
      <c r="C21" s="4">
        <v>14.3</v>
      </c>
      <c r="D21" s="4">
        <v>52.5</v>
      </c>
      <c r="E21" t="str">
        <f>VLOOKUP(Table2[[#This Row],[Code]],[1]!Table1[#All],2,FALSE)</f>
        <v>File</v>
      </c>
      <c r="F21" t="str" cm="1">
        <f t="array" ref="F21">_xlfn.XLOOKUP(Table2[[#This Row],[Code]],[1]!Table1[[#All],[CODE]],[1]!Table1[[#All],[Category]])</f>
        <v>Office</v>
      </c>
      <c r="G21" cm="1">
        <f t="array" ref="G21">_xlfn.XLOOKUP(Table2[[#This Row],[Code]],[1]!Table1[[#All],[CODE]],[1]!Table1[[#All],[Rate]])</f>
        <v>52.5</v>
      </c>
      <c r="H21" s="5"/>
    </row>
    <row r="22" spans="1:8" x14ac:dyDescent="0.3">
      <c r="A22" s="3">
        <v>45658</v>
      </c>
      <c r="B22" s="1" t="s">
        <v>27</v>
      </c>
      <c r="C22" s="4">
        <v>14.6</v>
      </c>
      <c r="D22" s="4">
        <v>54</v>
      </c>
      <c r="E22" t="str">
        <f>VLOOKUP(Table2[[#This Row],[Code]],[1]!Table1[#All],2,FALSE)</f>
        <v>Pen</v>
      </c>
      <c r="F22" t="str" cm="1">
        <f t="array" ref="F22">_xlfn.XLOOKUP(Table2[[#This Row],[Code]],[1]!Table1[[#All],[CODE]],[1]!Table1[[#All],[Category]])</f>
        <v>Stationery</v>
      </c>
      <c r="G22" cm="1">
        <f t="array" ref="G22">_xlfn.XLOOKUP(Table2[[#This Row],[Code]],[1]!Table1[[#All],[CODE]],[1]!Table1[[#All],[Rate]])</f>
        <v>54</v>
      </c>
      <c r="H22" s="5"/>
    </row>
    <row r="23" spans="1:8" x14ac:dyDescent="0.3">
      <c r="A23" s="3">
        <v>45658</v>
      </c>
      <c r="B23" s="1" t="s">
        <v>28</v>
      </c>
      <c r="C23" s="4">
        <v>14.9</v>
      </c>
      <c r="D23" s="4">
        <v>55.5</v>
      </c>
      <c r="E23" t="str">
        <f>VLOOKUP(Table2[[#This Row],[Code]],[1]!Table1[#All],2,FALSE)</f>
        <v>Notebook</v>
      </c>
      <c r="F23" t="str" cm="1">
        <f t="array" ref="F23">_xlfn.XLOOKUP(Table2[[#This Row],[Code]],[1]!Table1[[#All],[CODE]],[1]!Table1[[#All],[Category]])</f>
        <v>Stationery</v>
      </c>
      <c r="G23" cm="1">
        <f t="array" ref="G23">_xlfn.XLOOKUP(Table2[[#This Row],[Code]],[1]!Table1[[#All],[CODE]],[1]!Table1[[#All],[Rate]])</f>
        <v>55.5</v>
      </c>
      <c r="H23" s="5"/>
    </row>
    <row r="24" spans="1:8" x14ac:dyDescent="0.3">
      <c r="A24" s="3">
        <v>45659</v>
      </c>
      <c r="B24" s="1" t="s">
        <v>29</v>
      </c>
      <c r="C24" s="4">
        <v>15.2</v>
      </c>
      <c r="D24" s="4">
        <v>57</v>
      </c>
      <c r="E24" t="str">
        <f>VLOOKUP(Table2[[#This Row],[Code]],[1]!Table1[#All],2,FALSE)</f>
        <v>Marker</v>
      </c>
      <c r="F24" t="str" cm="1">
        <f t="array" ref="F24">_xlfn.XLOOKUP(Table2[[#This Row],[Code]],[1]!Table1[[#All],[CODE]],[1]!Table1[[#All],[Category]])</f>
        <v>Stationery</v>
      </c>
      <c r="G24" cm="1">
        <f t="array" ref="G24">_xlfn.XLOOKUP(Table2[[#This Row],[Code]],[1]!Table1[[#All],[CODE]],[1]!Table1[[#All],[Rate]])</f>
        <v>57</v>
      </c>
      <c r="H24" s="5"/>
    </row>
    <row r="25" spans="1:8" x14ac:dyDescent="0.3">
      <c r="A25" s="3">
        <v>45659</v>
      </c>
      <c r="B25" s="1" t="s">
        <v>30</v>
      </c>
      <c r="C25" s="4">
        <v>15.5</v>
      </c>
      <c r="D25" s="4">
        <v>58.5</v>
      </c>
      <c r="E25" t="str">
        <f>VLOOKUP(Table2[[#This Row],[Code]],[1]!Table1[#All],2,FALSE)</f>
        <v>Eraser</v>
      </c>
      <c r="F25" t="str" cm="1">
        <f t="array" ref="F25">_xlfn.XLOOKUP(Table2[[#This Row],[Code]],[1]!Table1[[#All],[CODE]],[1]!Table1[[#All],[Category]])</f>
        <v>Stationery</v>
      </c>
      <c r="G25" cm="1">
        <f t="array" ref="G25">_xlfn.XLOOKUP(Table2[[#This Row],[Code]],[1]!Table1[[#All],[CODE]],[1]!Table1[[#All],[Rate]])</f>
        <v>58.5</v>
      </c>
      <c r="H25" s="5"/>
    </row>
    <row r="26" spans="1:8" x14ac:dyDescent="0.3">
      <c r="A26" s="3">
        <v>45660</v>
      </c>
      <c r="B26" s="1" t="s">
        <v>31</v>
      </c>
      <c r="C26" s="4">
        <v>15.8</v>
      </c>
      <c r="D26" s="4">
        <v>60</v>
      </c>
      <c r="E26" t="str">
        <f>VLOOKUP(Table2[[#This Row],[Code]],[1]!Table1[#All],2,FALSE)</f>
        <v>File</v>
      </c>
      <c r="F26" t="str" cm="1">
        <f t="array" ref="F26">_xlfn.XLOOKUP(Table2[[#This Row],[Code]],[1]!Table1[[#All],[CODE]],[1]!Table1[[#All],[Category]])</f>
        <v>Office</v>
      </c>
      <c r="G26" cm="1">
        <f t="array" ref="G26">_xlfn.XLOOKUP(Table2[[#This Row],[Code]],[1]!Table1[[#All],[CODE]],[1]!Table1[[#All],[Rate]])</f>
        <v>60</v>
      </c>
      <c r="H26" s="5"/>
    </row>
    <row r="27" spans="1:8" x14ac:dyDescent="0.3">
      <c r="A27" s="3">
        <v>45658</v>
      </c>
      <c r="B27" s="1" t="s">
        <v>32</v>
      </c>
      <c r="C27" s="4">
        <v>16.100000000000001</v>
      </c>
      <c r="D27" s="4">
        <v>61.5</v>
      </c>
      <c r="E27" t="str">
        <f>VLOOKUP(Table2[[#This Row],[Code]],[1]!Table1[#All],2,FALSE)</f>
        <v>Pen</v>
      </c>
      <c r="F27" t="str" cm="1">
        <f t="array" ref="F27">_xlfn.XLOOKUP(Table2[[#This Row],[Code]],[1]!Table1[[#All],[CODE]],[1]!Table1[[#All],[Category]])</f>
        <v>Stationery</v>
      </c>
      <c r="G27" cm="1">
        <f t="array" ref="G27">_xlfn.XLOOKUP(Table2[[#This Row],[Code]],[1]!Table1[[#All],[CODE]],[1]!Table1[[#All],[Rate]])</f>
        <v>61.5</v>
      </c>
      <c r="H27" s="5"/>
    </row>
    <row r="28" spans="1:8" x14ac:dyDescent="0.3">
      <c r="A28" s="3">
        <v>45658</v>
      </c>
      <c r="B28" s="1" t="s">
        <v>33</v>
      </c>
      <c r="C28" s="4">
        <v>16.399999999999999</v>
      </c>
      <c r="D28" s="4">
        <v>63</v>
      </c>
      <c r="E28" t="str">
        <f>VLOOKUP(Table2[[#This Row],[Code]],[1]!Table1[#All],2,FALSE)</f>
        <v>Notebook</v>
      </c>
      <c r="F28" t="str" cm="1">
        <f t="array" ref="F28">_xlfn.XLOOKUP(Table2[[#This Row],[Code]],[1]!Table1[[#All],[CODE]],[1]!Table1[[#All],[Category]])</f>
        <v>Stationery</v>
      </c>
      <c r="G28" cm="1">
        <f t="array" ref="G28">_xlfn.XLOOKUP(Table2[[#This Row],[Code]],[1]!Table1[[#All],[CODE]],[1]!Table1[[#All],[Rate]])</f>
        <v>63</v>
      </c>
      <c r="H28" s="5"/>
    </row>
    <row r="29" spans="1:8" x14ac:dyDescent="0.3">
      <c r="A29" s="3">
        <v>45659</v>
      </c>
      <c r="B29" s="1" t="s">
        <v>34</v>
      </c>
      <c r="C29" s="4">
        <v>16.7</v>
      </c>
      <c r="D29" s="4">
        <v>64.5</v>
      </c>
      <c r="E29" t="str">
        <f>VLOOKUP(Table2[[#This Row],[Code]],[1]!Table1[#All],2,FALSE)</f>
        <v>Marker</v>
      </c>
      <c r="F29" t="str" cm="1">
        <f t="array" ref="F29">_xlfn.XLOOKUP(Table2[[#This Row],[Code]],[1]!Table1[[#All],[CODE]],[1]!Table1[[#All],[Category]])</f>
        <v>Stationery</v>
      </c>
      <c r="G29" cm="1">
        <f t="array" ref="G29">_xlfn.XLOOKUP(Table2[[#This Row],[Code]],[1]!Table1[[#All],[CODE]],[1]!Table1[[#All],[Rate]])</f>
        <v>64.5</v>
      </c>
      <c r="H29" s="5"/>
    </row>
    <row r="30" spans="1:8" x14ac:dyDescent="0.3">
      <c r="A30" s="3">
        <v>45659</v>
      </c>
      <c r="B30" s="1" t="s">
        <v>35</v>
      </c>
      <c r="C30" s="4">
        <v>17</v>
      </c>
      <c r="D30" s="4">
        <v>66</v>
      </c>
      <c r="E30" t="str">
        <f>VLOOKUP(Table2[[#This Row],[Code]],[1]!Table1[#All],2,FALSE)</f>
        <v>Eraser</v>
      </c>
      <c r="F30" t="str" cm="1">
        <f t="array" ref="F30">_xlfn.XLOOKUP(Table2[[#This Row],[Code]],[1]!Table1[[#All],[CODE]],[1]!Table1[[#All],[Category]])</f>
        <v>Stationery</v>
      </c>
      <c r="G30" cm="1">
        <f t="array" ref="G30">_xlfn.XLOOKUP(Table2[[#This Row],[Code]],[1]!Table1[[#All],[CODE]],[1]!Table1[[#All],[Rate]])</f>
        <v>66</v>
      </c>
      <c r="H30" s="5"/>
    </row>
    <row r="31" spans="1:8" x14ac:dyDescent="0.3">
      <c r="A31" s="3">
        <v>45660</v>
      </c>
      <c r="B31" s="1" t="s">
        <v>36</v>
      </c>
      <c r="C31" s="4">
        <v>17.3</v>
      </c>
      <c r="D31" s="4">
        <v>67.5</v>
      </c>
      <c r="E31" t="str">
        <f>VLOOKUP(Table2[[#This Row],[Code]],[1]!Table1[#All],2,FALSE)</f>
        <v>File</v>
      </c>
      <c r="F31" t="str" cm="1">
        <f t="array" ref="F31">_xlfn.XLOOKUP(Table2[[#This Row],[Code]],[1]!Table1[[#All],[CODE]],[1]!Table1[[#All],[Category]])</f>
        <v>Office</v>
      </c>
      <c r="G31" cm="1">
        <f t="array" ref="G31">_xlfn.XLOOKUP(Table2[[#This Row],[Code]],[1]!Table1[[#All],[CODE]],[1]!Table1[[#All],[Rate]])</f>
        <v>67.5</v>
      </c>
      <c r="H31" s="5"/>
    </row>
    <row r="32" spans="1:8" x14ac:dyDescent="0.3">
      <c r="A32" s="3">
        <v>45658</v>
      </c>
      <c r="B32" s="1" t="s">
        <v>37</v>
      </c>
      <c r="C32" s="4">
        <v>17.600000000000001</v>
      </c>
      <c r="D32" s="4">
        <v>69</v>
      </c>
      <c r="E32" t="str">
        <f>VLOOKUP(Table2[[#This Row],[Code]],[1]!Table1[#All],2,FALSE)</f>
        <v>Pen</v>
      </c>
      <c r="F32" t="str" cm="1">
        <f t="array" ref="F32">_xlfn.XLOOKUP(Table2[[#This Row],[Code]],[1]!Table1[[#All],[CODE]],[1]!Table1[[#All],[Category]])</f>
        <v>Stationery</v>
      </c>
      <c r="G32" cm="1">
        <f t="array" ref="G32">_xlfn.XLOOKUP(Table2[[#This Row],[Code]],[1]!Table1[[#All],[CODE]],[1]!Table1[[#All],[Rate]])</f>
        <v>69</v>
      </c>
      <c r="H32" s="5"/>
    </row>
    <row r="33" spans="1:8" x14ac:dyDescent="0.3">
      <c r="A33" s="3">
        <v>45658</v>
      </c>
      <c r="B33" s="1" t="s">
        <v>38</v>
      </c>
      <c r="C33" s="4">
        <v>17.899999999999999</v>
      </c>
      <c r="D33" s="4">
        <v>70.5</v>
      </c>
      <c r="E33" t="str">
        <f>VLOOKUP(Table2[[#This Row],[Code]],[1]!Table1[#All],2,FALSE)</f>
        <v>Notebook</v>
      </c>
      <c r="F33" t="str" cm="1">
        <f t="array" ref="F33">_xlfn.XLOOKUP(Table2[[#This Row],[Code]],[1]!Table1[[#All],[CODE]],[1]!Table1[[#All],[Category]])</f>
        <v>Stationery</v>
      </c>
      <c r="G33" cm="1">
        <f t="array" ref="G33">_xlfn.XLOOKUP(Table2[[#This Row],[Code]],[1]!Table1[[#All],[CODE]],[1]!Table1[[#All],[Rate]])</f>
        <v>70.5</v>
      </c>
      <c r="H33" s="5"/>
    </row>
    <row r="34" spans="1:8" x14ac:dyDescent="0.3">
      <c r="A34" s="3">
        <v>45659</v>
      </c>
      <c r="B34" s="1" t="s">
        <v>39</v>
      </c>
      <c r="C34" s="4">
        <v>18.2</v>
      </c>
      <c r="D34" s="4">
        <v>72</v>
      </c>
      <c r="E34" t="str">
        <f>VLOOKUP(Table2[[#This Row],[Code]],[1]!Table1[#All],2,FALSE)</f>
        <v>Marker</v>
      </c>
      <c r="F34" t="str" cm="1">
        <f t="array" ref="F34">_xlfn.XLOOKUP(Table2[[#This Row],[Code]],[1]!Table1[[#All],[CODE]],[1]!Table1[[#All],[Category]])</f>
        <v>Stationery</v>
      </c>
      <c r="G34" cm="1">
        <f t="array" ref="G34">_xlfn.XLOOKUP(Table2[[#This Row],[Code]],[1]!Table1[[#All],[CODE]],[1]!Table1[[#All],[Rate]])</f>
        <v>72</v>
      </c>
      <c r="H34" s="5"/>
    </row>
    <row r="35" spans="1:8" x14ac:dyDescent="0.3">
      <c r="A35" s="3">
        <v>45659</v>
      </c>
      <c r="B35" s="1" t="s">
        <v>40</v>
      </c>
      <c r="C35" s="4">
        <v>18.5</v>
      </c>
      <c r="D35" s="4">
        <v>73.5</v>
      </c>
      <c r="E35" t="str">
        <f>VLOOKUP(Table2[[#This Row],[Code]],[1]!Table1[#All],2,FALSE)</f>
        <v>Eraser</v>
      </c>
      <c r="F35" t="str" cm="1">
        <f t="array" ref="F35">_xlfn.XLOOKUP(Table2[[#This Row],[Code]],[1]!Table1[[#All],[CODE]],[1]!Table1[[#All],[Category]])</f>
        <v>Stationery</v>
      </c>
      <c r="G35" cm="1">
        <f t="array" ref="G35">_xlfn.XLOOKUP(Table2[[#This Row],[Code]],[1]!Table1[[#All],[CODE]],[1]!Table1[[#All],[Rate]])</f>
        <v>73.5</v>
      </c>
      <c r="H35" s="5"/>
    </row>
    <row r="36" spans="1:8" x14ac:dyDescent="0.3">
      <c r="A36" s="3">
        <v>45660</v>
      </c>
      <c r="B36" s="1" t="s">
        <v>41</v>
      </c>
      <c r="C36" s="4">
        <v>18.8</v>
      </c>
      <c r="D36" s="4">
        <v>75</v>
      </c>
      <c r="E36" t="str">
        <f>VLOOKUP(Table2[[#This Row],[Code]],[1]!Table1[#All],2,FALSE)</f>
        <v>File</v>
      </c>
      <c r="F36" t="str" cm="1">
        <f t="array" ref="F36">_xlfn.XLOOKUP(Table2[[#This Row],[Code]],[1]!Table1[[#All],[CODE]],[1]!Table1[[#All],[Category]])</f>
        <v>Office</v>
      </c>
      <c r="G36" cm="1">
        <f t="array" ref="G36">_xlfn.XLOOKUP(Table2[[#This Row],[Code]],[1]!Table1[[#All],[CODE]],[1]!Table1[[#All],[Rate]])</f>
        <v>75</v>
      </c>
      <c r="H36" s="5"/>
    </row>
    <row r="37" spans="1:8" x14ac:dyDescent="0.3">
      <c r="A37" s="3">
        <v>45658</v>
      </c>
      <c r="B37" s="1" t="s">
        <v>42</v>
      </c>
      <c r="C37" s="4">
        <v>19.100000000000001</v>
      </c>
      <c r="D37" s="4">
        <v>76.5</v>
      </c>
      <c r="E37" t="str">
        <f>VLOOKUP(Table2[[#This Row],[Code]],[1]!Table1[#All],2,FALSE)</f>
        <v>Pen</v>
      </c>
      <c r="F37" t="str" cm="1">
        <f t="array" ref="F37">_xlfn.XLOOKUP(Table2[[#This Row],[Code]],[1]!Table1[[#All],[CODE]],[1]!Table1[[#All],[Category]])</f>
        <v>Stationery</v>
      </c>
      <c r="G37" cm="1">
        <f t="array" ref="G37">_xlfn.XLOOKUP(Table2[[#This Row],[Code]],[1]!Table1[[#All],[CODE]],[1]!Table1[[#All],[Rate]])</f>
        <v>76.5</v>
      </c>
      <c r="H37" s="5"/>
    </row>
    <row r="38" spans="1:8" x14ac:dyDescent="0.3">
      <c r="A38" s="3">
        <v>45658</v>
      </c>
      <c r="B38" s="1" t="s">
        <v>43</v>
      </c>
      <c r="C38" s="4">
        <v>19.399999999999999</v>
      </c>
      <c r="D38" s="4">
        <v>78</v>
      </c>
      <c r="E38" t="str">
        <f>VLOOKUP(Table2[[#This Row],[Code]],[1]!Table1[#All],2,FALSE)</f>
        <v>Notebook</v>
      </c>
      <c r="F38" t="str" cm="1">
        <f t="array" ref="F38">_xlfn.XLOOKUP(Table2[[#This Row],[Code]],[1]!Table1[[#All],[CODE]],[1]!Table1[[#All],[Category]])</f>
        <v>Stationery</v>
      </c>
      <c r="G38" cm="1">
        <f t="array" ref="G38">_xlfn.XLOOKUP(Table2[[#This Row],[Code]],[1]!Table1[[#All],[CODE]],[1]!Table1[[#All],[Rate]])</f>
        <v>78</v>
      </c>
      <c r="H38" s="5"/>
    </row>
    <row r="39" spans="1:8" x14ac:dyDescent="0.3">
      <c r="A39" s="3">
        <v>45659</v>
      </c>
      <c r="B39" s="1" t="s">
        <v>44</v>
      </c>
      <c r="C39" s="4">
        <v>19.7</v>
      </c>
      <c r="D39" s="4">
        <v>79.5</v>
      </c>
      <c r="E39" t="str">
        <f>VLOOKUP(Table2[[#This Row],[Code]],[1]!Table1[#All],2,FALSE)</f>
        <v>Marker</v>
      </c>
      <c r="F39" t="str" cm="1">
        <f t="array" ref="F39">_xlfn.XLOOKUP(Table2[[#This Row],[Code]],[1]!Table1[[#All],[CODE]],[1]!Table1[[#All],[Category]])</f>
        <v>Stationery</v>
      </c>
      <c r="G39" cm="1">
        <f t="array" ref="G39">_xlfn.XLOOKUP(Table2[[#This Row],[Code]],[1]!Table1[[#All],[CODE]],[1]!Table1[[#All],[Rate]])</f>
        <v>79.5</v>
      </c>
      <c r="H39" s="5"/>
    </row>
    <row r="40" spans="1:8" x14ac:dyDescent="0.3">
      <c r="A40" s="3">
        <v>45659</v>
      </c>
      <c r="B40" s="1" t="s">
        <v>45</v>
      </c>
      <c r="C40" s="4">
        <v>20</v>
      </c>
      <c r="D40" s="4">
        <v>81</v>
      </c>
      <c r="E40" t="str">
        <f>VLOOKUP(Table2[[#This Row],[Code]],[1]!Table1[#All],2,FALSE)</f>
        <v>Eraser</v>
      </c>
      <c r="F40" t="str" cm="1">
        <f t="array" ref="F40">_xlfn.XLOOKUP(Table2[[#This Row],[Code]],[1]!Table1[[#All],[CODE]],[1]!Table1[[#All],[Category]])</f>
        <v>Stationery</v>
      </c>
      <c r="G40" cm="1">
        <f t="array" ref="G40">_xlfn.XLOOKUP(Table2[[#This Row],[Code]],[1]!Table1[[#All],[CODE]],[1]!Table1[[#All],[Rate]])</f>
        <v>81</v>
      </c>
      <c r="H40" s="5"/>
    </row>
    <row r="41" spans="1:8" x14ac:dyDescent="0.3">
      <c r="A41" s="3">
        <v>45660</v>
      </c>
      <c r="B41" s="1" t="s">
        <v>46</v>
      </c>
      <c r="C41" s="4">
        <v>20.3</v>
      </c>
      <c r="D41" s="4">
        <v>82.5</v>
      </c>
      <c r="E41" t="str">
        <f>VLOOKUP(Table2[[#This Row],[Code]],[1]!Table1[#All],2,FALSE)</f>
        <v>File</v>
      </c>
      <c r="F41" t="str" cm="1">
        <f t="array" ref="F41">_xlfn.XLOOKUP(Table2[[#This Row],[Code]],[1]!Table1[[#All],[CODE]],[1]!Table1[[#All],[Category]])</f>
        <v>Office</v>
      </c>
      <c r="G41" cm="1">
        <f t="array" ref="G41">_xlfn.XLOOKUP(Table2[[#This Row],[Code]],[1]!Table1[[#All],[CODE]],[1]!Table1[[#All],[Rate]])</f>
        <v>82.5</v>
      </c>
      <c r="H41" s="5"/>
    </row>
    <row r="42" spans="1:8" x14ac:dyDescent="0.3">
      <c r="A42" s="3">
        <v>45658</v>
      </c>
      <c r="B42" s="1" t="s">
        <v>47</v>
      </c>
      <c r="C42" s="4">
        <v>20.6</v>
      </c>
      <c r="D42" s="4">
        <v>84</v>
      </c>
      <c r="E42" t="str">
        <f>VLOOKUP(Table2[[#This Row],[Code]],[1]!Table1[#All],2,FALSE)</f>
        <v>Pen</v>
      </c>
      <c r="F42" t="str" cm="1">
        <f t="array" ref="F42">_xlfn.XLOOKUP(Table2[[#This Row],[Code]],[1]!Table1[[#All],[CODE]],[1]!Table1[[#All],[Category]])</f>
        <v>Stationery</v>
      </c>
      <c r="G42" cm="1">
        <f t="array" ref="G42">_xlfn.XLOOKUP(Table2[[#This Row],[Code]],[1]!Table1[[#All],[CODE]],[1]!Table1[[#All],[Rate]])</f>
        <v>84</v>
      </c>
      <c r="H42" s="5"/>
    </row>
    <row r="43" spans="1:8" x14ac:dyDescent="0.3">
      <c r="A43" s="3">
        <v>45658</v>
      </c>
      <c r="B43" s="1" t="s">
        <v>48</v>
      </c>
      <c r="C43" s="4">
        <v>20.9</v>
      </c>
      <c r="D43" s="4">
        <v>85.5</v>
      </c>
      <c r="E43" t="str">
        <f>VLOOKUP(Table2[[#This Row],[Code]],[1]!Table1[#All],2,FALSE)</f>
        <v>Notebook</v>
      </c>
      <c r="F43" t="str" cm="1">
        <f t="array" ref="F43">_xlfn.XLOOKUP(Table2[[#This Row],[Code]],[1]!Table1[[#All],[CODE]],[1]!Table1[[#All],[Category]])</f>
        <v>Stationery</v>
      </c>
      <c r="G43" cm="1">
        <f t="array" ref="G43">_xlfn.XLOOKUP(Table2[[#This Row],[Code]],[1]!Table1[[#All],[CODE]],[1]!Table1[[#All],[Rate]])</f>
        <v>85.5</v>
      </c>
      <c r="H43" s="5"/>
    </row>
    <row r="44" spans="1:8" x14ac:dyDescent="0.3">
      <c r="A44" s="3">
        <v>45659</v>
      </c>
      <c r="B44" s="1" t="s">
        <v>49</v>
      </c>
      <c r="C44" s="4">
        <v>21.2</v>
      </c>
      <c r="D44" s="4">
        <v>87</v>
      </c>
      <c r="E44" t="str">
        <f>VLOOKUP(Table2[[#This Row],[Code]],[1]!Table1[#All],2,FALSE)</f>
        <v>Marker</v>
      </c>
      <c r="F44" t="str" cm="1">
        <f t="array" ref="F44">_xlfn.XLOOKUP(Table2[[#This Row],[Code]],[1]!Table1[[#All],[CODE]],[1]!Table1[[#All],[Category]])</f>
        <v>Stationery</v>
      </c>
      <c r="G44" cm="1">
        <f t="array" ref="G44">_xlfn.XLOOKUP(Table2[[#This Row],[Code]],[1]!Table1[[#All],[CODE]],[1]!Table1[[#All],[Rate]])</f>
        <v>87</v>
      </c>
      <c r="H44" s="5"/>
    </row>
    <row r="45" spans="1:8" x14ac:dyDescent="0.3">
      <c r="A45" s="3">
        <v>45659</v>
      </c>
      <c r="B45" s="1" t="s">
        <v>50</v>
      </c>
      <c r="C45" s="4">
        <v>21.5</v>
      </c>
      <c r="D45" s="4">
        <v>88.5</v>
      </c>
      <c r="E45" t="str">
        <f>VLOOKUP(Table2[[#This Row],[Code]],[1]!Table1[#All],2,FALSE)</f>
        <v>Eraser</v>
      </c>
      <c r="F45" t="str" cm="1">
        <f t="array" ref="F45">_xlfn.XLOOKUP(Table2[[#This Row],[Code]],[1]!Table1[[#All],[CODE]],[1]!Table1[[#All],[Category]])</f>
        <v>Stationery</v>
      </c>
      <c r="G45" cm="1">
        <f t="array" ref="G45">_xlfn.XLOOKUP(Table2[[#This Row],[Code]],[1]!Table1[[#All],[CODE]],[1]!Table1[[#All],[Rate]])</f>
        <v>88.5</v>
      </c>
      <c r="H45" s="5"/>
    </row>
    <row r="46" spans="1:8" x14ac:dyDescent="0.3">
      <c r="A46" s="3">
        <v>45660</v>
      </c>
      <c r="B46" s="1" t="s">
        <v>51</v>
      </c>
      <c r="C46" s="4">
        <v>21.8</v>
      </c>
      <c r="D46" s="4">
        <v>90</v>
      </c>
      <c r="E46" t="str">
        <f>VLOOKUP(Table2[[#This Row],[Code]],[1]!Table1[#All],2,FALSE)</f>
        <v>File</v>
      </c>
      <c r="F46" t="str" cm="1">
        <f t="array" ref="F46">_xlfn.XLOOKUP(Table2[[#This Row],[Code]],[1]!Table1[[#All],[CODE]],[1]!Table1[[#All],[Category]])</f>
        <v>Office</v>
      </c>
      <c r="G46" cm="1">
        <f t="array" ref="G46">_xlfn.XLOOKUP(Table2[[#This Row],[Code]],[1]!Table1[[#All],[CODE]],[1]!Table1[[#All],[Rate]])</f>
        <v>90</v>
      </c>
      <c r="H46" s="5"/>
    </row>
    <row r="47" spans="1:8" x14ac:dyDescent="0.3">
      <c r="A47" s="3">
        <v>45658</v>
      </c>
      <c r="B47" s="1" t="s">
        <v>52</v>
      </c>
      <c r="C47" s="4">
        <v>22.1</v>
      </c>
      <c r="D47" s="4">
        <v>91.5</v>
      </c>
      <c r="E47" t="str">
        <f>VLOOKUP(Table2[[#This Row],[Code]],[1]!Table1[#All],2,FALSE)</f>
        <v>Pen</v>
      </c>
      <c r="F47" t="str" cm="1">
        <f t="array" ref="F47">_xlfn.XLOOKUP(Table2[[#This Row],[Code]],[1]!Table1[[#All],[CODE]],[1]!Table1[[#All],[Category]])</f>
        <v>Stationery</v>
      </c>
      <c r="G47" cm="1">
        <f t="array" ref="G47">_xlfn.XLOOKUP(Table2[[#This Row],[Code]],[1]!Table1[[#All],[CODE]],[1]!Table1[[#All],[Rate]])</f>
        <v>91.5</v>
      </c>
      <c r="H47" s="5"/>
    </row>
    <row r="48" spans="1:8" x14ac:dyDescent="0.3">
      <c r="A48" s="3">
        <v>45658</v>
      </c>
      <c r="B48" s="1" t="s">
        <v>53</v>
      </c>
      <c r="C48" s="4">
        <v>22.4</v>
      </c>
      <c r="D48" s="4">
        <v>93</v>
      </c>
      <c r="E48" t="str">
        <f>VLOOKUP(Table2[[#This Row],[Code]],[1]!Table1[#All],2,FALSE)</f>
        <v>Notebook</v>
      </c>
      <c r="F48" t="str" cm="1">
        <f t="array" ref="F48">_xlfn.XLOOKUP(Table2[[#This Row],[Code]],[1]!Table1[[#All],[CODE]],[1]!Table1[[#All],[Category]])</f>
        <v>Stationery</v>
      </c>
      <c r="G48" cm="1">
        <f t="array" ref="G48">_xlfn.XLOOKUP(Table2[[#This Row],[Code]],[1]!Table1[[#All],[CODE]],[1]!Table1[[#All],[Rate]])</f>
        <v>93</v>
      </c>
      <c r="H48" s="5"/>
    </row>
    <row r="49" spans="1:8" x14ac:dyDescent="0.3">
      <c r="A49" s="3">
        <v>45659</v>
      </c>
      <c r="B49" s="1" t="s">
        <v>54</v>
      </c>
      <c r="C49" s="4">
        <v>22.7</v>
      </c>
      <c r="D49" s="4">
        <v>94.5</v>
      </c>
      <c r="E49" t="str">
        <f>VLOOKUP(Table2[[#This Row],[Code]],[1]!Table1[#All],2,FALSE)</f>
        <v>Marker</v>
      </c>
      <c r="F49" t="str" cm="1">
        <f t="array" ref="F49">_xlfn.XLOOKUP(Table2[[#This Row],[Code]],[1]!Table1[[#All],[CODE]],[1]!Table1[[#All],[Category]])</f>
        <v>Stationery</v>
      </c>
      <c r="G49" cm="1">
        <f t="array" ref="G49">_xlfn.XLOOKUP(Table2[[#This Row],[Code]],[1]!Table1[[#All],[CODE]],[1]!Table1[[#All],[Rate]])</f>
        <v>94.5</v>
      </c>
      <c r="H49" s="5"/>
    </row>
    <row r="50" spans="1:8" x14ac:dyDescent="0.3">
      <c r="A50" s="3">
        <v>45659</v>
      </c>
      <c r="B50" s="1" t="s">
        <v>55</v>
      </c>
      <c r="C50" s="4">
        <v>23</v>
      </c>
      <c r="D50" s="4">
        <v>96</v>
      </c>
      <c r="E50" t="str">
        <f>VLOOKUP(Table2[[#This Row],[Code]],[1]!Table1[#All],2,FALSE)</f>
        <v>Eraser</v>
      </c>
      <c r="F50" t="str" cm="1">
        <f t="array" ref="F50">_xlfn.XLOOKUP(Table2[[#This Row],[Code]],[1]!Table1[[#All],[CODE]],[1]!Table1[[#All],[Category]])</f>
        <v>Stationery</v>
      </c>
      <c r="G50" cm="1">
        <f t="array" ref="G50">_xlfn.XLOOKUP(Table2[[#This Row],[Code]],[1]!Table1[[#All],[CODE]],[1]!Table1[[#All],[Rate]])</f>
        <v>96</v>
      </c>
      <c r="H50" s="5"/>
    </row>
    <row r="51" spans="1:8" x14ac:dyDescent="0.3">
      <c r="A51" s="3">
        <v>45660</v>
      </c>
      <c r="B51" s="1" t="s">
        <v>56</v>
      </c>
      <c r="C51" s="4">
        <v>23.3</v>
      </c>
      <c r="D51" s="4">
        <v>97.5</v>
      </c>
      <c r="E51" t="str">
        <f>VLOOKUP(Table2[[#This Row],[Code]],[1]!Table1[#All],2,FALSE)</f>
        <v>File</v>
      </c>
      <c r="F51" t="str" cm="1">
        <f t="array" ref="F51">_xlfn.XLOOKUP(Table2[[#This Row],[Code]],[1]!Table1[[#All],[CODE]],[1]!Table1[[#All],[Category]])</f>
        <v>Office</v>
      </c>
      <c r="G51" cm="1">
        <f t="array" ref="G51">_xlfn.XLOOKUP(Table2[[#This Row],[Code]],[1]!Table1[[#All],[CODE]],[1]!Table1[[#All],[Rate]])</f>
        <v>97.5</v>
      </c>
      <c r="H51" s="5"/>
    </row>
    <row r="52" spans="1:8" x14ac:dyDescent="0.3">
      <c r="A52" s="3">
        <v>45658</v>
      </c>
      <c r="B52" s="1" t="s">
        <v>57</v>
      </c>
      <c r="C52" s="4">
        <v>23.6</v>
      </c>
      <c r="D52" s="4">
        <v>99</v>
      </c>
      <c r="E52" t="str">
        <f>VLOOKUP(Table2[[#This Row],[Code]],[1]!Table1[#All],2,FALSE)</f>
        <v>Pen</v>
      </c>
      <c r="F52" t="str" cm="1">
        <f t="array" ref="F52">_xlfn.XLOOKUP(Table2[[#This Row],[Code]],[1]!Table1[[#All],[CODE]],[1]!Table1[[#All],[Category]])</f>
        <v>Stationery</v>
      </c>
      <c r="G52" cm="1">
        <f t="array" ref="G52">_xlfn.XLOOKUP(Table2[[#This Row],[Code]],[1]!Table1[[#All],[CODE]],[1]!Table1[[#All],[Rate]])</f>
        <v>99</v>
      </c>
      <c r="H52" s="5"/>
    </row>
    <row r="53" spans="1:8" x14ac:dyDescent="0.3">
      <c r="A53" s="3">
        <v>45658</v>
      </c>
      <c r="B53" s="1" t="s">
        <v>58</v>
      </c>
      <c r="C53" s="4">
        <v>23.9</v>
      </c>
      <c r="D53" s="4">
        <v>100.5</v>
      </c>
      <c r="E53" t="str">
        <f>VLOOKUP(Table2[[#This Row],[Code]],[1]!Table1[#All],2,FALSE)</f>
        <v>Notebook</v>
      </c>
      <c r="F53" t="str" cm="1">
        <f t="array" ref="F53">_xlfn.XLOOKUP(Table2[[#This Row],[Code]],[1]!Table1[[#All],[CODE]],[1]!Table1[[#All],[Category]])</f>
        <v>Stationery</v>
      </c>
      <c r="G53" cm="1">
        <f t="array" ref="G53">_xlfn.XLOOKUP(Table2[[#This Row],[Code]],[1]!Table1[[#All],[CODE]],[1]!Table1[[#All],[Rate]])</f>
        <v>100.5</v>
      </c>
      <c r="H53" s="5"/>
    </row>
    <row r="54" spans="1:8" x14ac:dyDescent="0.3">
      <c r="A54" s="3">
        <v>45659</v>
      </c>
      <c r="B54" s="1" t="s">
        <v>59</v>
      </c>
      <c r="C54" s="4">
        <v>24.2</v>
      </c>
      <c r="D54" s="4">
        <v>102</v>
      </c>
      <c r="E54" t="str">
        <f>VLOOKUP(Table2[[#This Row],[Code]],[1]!Table1[#All],2,FALSE)</f>
        <v>Marker</v>
      </c>
      <c r="F54" t="str" cm="1">
        <f t="array" ref="F54">_xlfn.XLOOKUP(Table2[[#This Row],[Code]],[1]!Table1[[#All],[CODE]],[1]!Table1[[#All],[Category]])</f>
        <v>Stationery</v>
      </c>
      <c r="G54" cm="1">
        <f t="array" ref="G54">_xlfn.XLOOKUP(Table2[[#This Row],[Code]],[1]!Table1[[#All],[CODE]],[1]!Table1[[#All],[Rate]])</f>
        <v>102</v>
      </c>
      <c r="H54" s="5"/>
    </row>
    <row r="55" spans="1:8" x14ac:dyDescent="0.3">
      <c r="A55" s="3">
        <v>45659</v>
      </c>
      <c r="B55" s="1" t="s">
        <v>60</v>
      </c>
      <c r="C55" s="4">
        <v>24.5</v>
      </c>
      <c r="D55" s="4">
        <v>103.5</v>
      </c>
      <c r="E55" t="str">
        <f>VLOOKUP(Table2[[#This Row],[Code]],[1]!Table1[#All],2,FALSE)</f>
        <v>Eraser</v>
      </c>
      <c r="F55" t="str" cm="1">
        <f t="array" ref="F55">_xlfn.XLOOKUP(Table2[[#This Row],[Code]],[1]!Table1[[#All],[CODE]],[1]!Table1[[#All],[Category]])</f>
        <v>Stationery</v>
      </c>
      <c r="G55" cm="1">
        <f t="array" ref="G55">_xlfn.XLOOKUP(Table2[[#This Row],[Code]],[1]!Table1[[#All],[CODE]],[1]!Table1[[#All],[Rate]])</f>
        <v>103.5</v>
      </c>
      <c r="H55" s="5"/>
    </row>
    <row r="56" spans="1:8" x14ac:dyDescent="0.3">
      <c r="A56" s="3">
        <v>45660</v>
      </c>
      <c r="B56" s="1" t="s">
        <v>61</v>
      </c>
      <c r="C56" s="4">
        <v>24.8</v>
      </c>
      <c r="D56" s="4">
        <v>105</v>
      </c>
      <c r="E56" t="str">
        <f>VLOOKUP(Table2[[#This Row],[Code]],[1]!Table1[#All],2,FALSE)</f>
        <v>File</v>
      </c>
      <c r="F56" t="str" cm="1">
        <f t="array" ref="F56">_xlfn.XLOOKUP(Table2[[#This Row],[Code]],[1]!Table1[[#All],[CODE]],[1]!Table1[[#All],[Category]])</f>
        <v>Office</v>
      </c>
      <c r="G56" cm="1">
        <f t="array" ref="G56">_xlfn.XLOOKUP(Table2[[#This Row],[Code]],[1]!Table1[[#All],[CODE]],[1]!Table1[[#All],[Rate]])</f>
        <v>105</v>
      </c>
      <c r="H56" s="5"/>
    </row>
    <row r="57" spans="1:8" x14ac:dyDescent="0.3">
      <c r="A57" s="3">
        <v>45658</v>
      </c>
      <c r="B57" s="1" t="s">
        <v>62</v>
      </c>
      <c r="C57" s="4">
        <v>25.1</v>
      </c>
      <c r="D57" s="4">
        <v>106.5</v>
      </c>
      <c r="E57" t="str">
        <f>VLOOKUP(Table2[[#This Row],[Code]],[1]!Table1[#All],2,FALSE)</f>
        <v>Pen</v>
      </c>
      <c r="F57" t="str" cm="1">
        <f t="array" ref="F57">_xlfn.XLOOKUP(Table2[[#This Row],[Code]],[1]!Table1[[#All],[CODE]],[1]!Table1[[#All],[Category]])</f>
        <v>Stationery</v>
      </c>
      <c r="G57" cm="1">
        <f t="array" ref="G57">_xlfn.XLOOKUP(Table2[[#This Row],[Code]],[1]!Table1[[#All],[CODE]],[1]!Table1[[#All],[Rate]])</f>
        <v>106.5</v>
      </c>
      <c r="H57" s="5"/>
    </row>
    <row r="58" spans="1:8" x14ac:dyDescent="0.3">
      <c r="A58" s="3">
        <v>45658</v>
      </c>
      <c r="B58" s="1" t="s">
        <v>63</v>
      </c>
      <c r="C58" s="4">
        <v>25.4</v>
      </c>
      <c r="D58" s="4">
        <v>108</v>
      </c>
      <c r="E58" t="str">
        <f>VLOOKUP(Table2[[#This Row],[Code]],[1]!Table1[#All],2,FALSE)</f>
        <v>Notebook</v>
      </c>
      <c r="F58" t="str" cm="1">
        <f t="array" ref="F58">_xlfn.XLOOKUP(Table2[[#This Row],[Code]],[1]!Table1[[#All],[CODE]],[1]!Table1[[#All],[Category]])</f>
        <v>Stationery</v>
      </c>
      <c r="G58" cm="1">
        <f t="array" ref="G58">_xlfn.XLOOKUP(Table2[[#This Row],[Code]],[1]!Table1[[#All],[CODE]],[1]!Table1[[#All],[Rate]])</f>
        <v>108</v>
      </c>
      <c r="H58" s="5"/>
    </row>
    <row r="59" spans="1:8" x14ac:dyDescent="0.3">
      <c r="A59" s="3">
        <v>45659</v>
      </c>
      <c r="B59" s="1" t="s">
        <v>64</v>
      </c>
      <c r="C59" s="4">
        <v>25.7</v>
      </c>
      <c r="D59" s="4">
        <v>109.5</v>
      </c>
      <c r="E59" t="str">
        <f>VLOOKUP(Table2[[#This Row],[Code]],[1]!Table1[#All],2,FALSE)</f>
        <v>Marker</v>
      </c>
      <c r="F59" t="str" cm="1">
        <f t="array" ref="F59">_xlfn.XLOOKUP(Table2[[#This Row],[Code]],[1]!Table1[[#All],[CODE]],[1]!Table1[[#All],[Category]])</f>
        <v>Stationery</v>
      </c>
      <c r="G59" cm="1">
        <f t="array" ref="G59">_xlfn.XLOOKUP(Table2[[#This Row],[Code]],[1]!Table1[[#All],[CODE]],[1]!Table1[[#All],[Rate]])</f>
        <v>109.5</v>
      </c>
      <c r="H59" s="5"/>
    </row>
    <row r="60" spans="1:8" x14ac:dyDescent="0.3">
      <c r="A60" s="3">
        <v>45659</v>
      </c>
      <c r="B60" s="1" t="s">
        <v>65</v>
      </c>
      <c r="C60" s="4">
        <v>26</v>
      </c>
      <c r="D60" s="4">
        <v>111</v>
      </c>
      <c r="E60" t="str">
        <f>VLOOKUP(Table2[[#This Row],[Code]],[1]!Table1[#All],2,FALSE)</f>
        <v>Eraser</v>
      </c>
      <c r="F60" t="str" cm="1">
        <f t="array" ref="F60">_xlfn.XLOOKUP(Table2[[#This Row],[Code]],[1]!Table1[[#All],[CODE]],[1]!Table1[[#All],[Category]])</f>
        <v>Stationery</v>
      </c>
      <c r="G60" cm="1">
        <f t="array" ref="G60">_xlfn.XLOOKUP(Table2[[#This Row],[Code]],[1]!Table1[[#All],[CODE]],[1]!Table1[[#All],[Rate]])</f>
        <v>111</v>
      </c>
      <c r="H60" s="5"/>
    </row>
    <row r="61" spans="1:8" x14ac:dyDescent="0.3">
      <c r="A61" s="3">
        <v>45660</v>
      </c>
      <c r="B61" s="1" t="s">
        <v>66</v>
      </c>
      <c r="C61" s="4">
        <v>26.3</v>
      </c>
      <c r="D61" s="4">
        <v>112.5</v>
      </c>
      <c r="E61" t="str">
        <f>VLOOKUP(Table2[[#This Row],[Code]],[1]!Table1[#All],2,FALSE)</f>
        <v>File</v>
      </c>
      <c r="F61" t="str" cm="1">
        <f t="array" ref="F61">_xlfn.XLOOKUP(Table2[[#This Row],[Code]],[1]!Table1[[#All],[CODE]],[1]!Table1[[#All],[Category]])</f>
        <v>Office</v>
      </c>
      <c r="G61" cm="1">
        <f t="array" ref="G61">_xlfn.XLOOKUP(Table2[[#This Row],[Code]],[1]!Table1[[#All],[CODE]],[1]!Table1[[#All],[Rate]])</f>
        <v>112.5</v>
      </c>
      <c r="H61" s="5"/>
    </row>
    <row r="62" spans="1:8" x14ac:dyDescent="0.3">
      <c r="A62" s="3">
        <v>45658</v>
      </c>
      <c r="B62" s="1" t="s">
        <v>67</v>
      </c>
      <c r="C62" s="4">
        <v>26.6</v>
      </c>
      <c r="D62" s="4">
        <v>114</v>
      </c>
      <c r="E62" t="str">
        <f>VLOOKUP(Table2[[#This Row],[Code]],[1]!Table1[#All],2,FALSE)</f>
        <v>Pen</v>
      </c>
      <c r="F62" t="str" cm="1">
        <f t="array" ref="F62">_xlfn.XLOOKUP(Table2[[#This Row],[Code]],[1]!Table1[[#All],[CODE]],[1]!Table1[[#All],[Category]])</f>
        <v>Stationery</v>
      </c>
      <c r="G62" cm="1">
        <f t="array" ref="G62">_xlfn.XLOOKUP(Table2[[#This Row],[Code]],[1]!Table1[[#All],[CODE]],[1]!Table1[[#All],[Rate]])</f>
        <v>114</v>
      </c>
      <c r="H62" s="5"/>
    </row>
    <row r="63" spans="1:8" x14ac:dyDescent="0.3">
      <c r="A63" s="3">
        <v>45658</v>
      </c>
      <c r="B63" s="1" t="s">
        <v>68</v>
      </c>
      <c r="C63" s="4">
        <v>26.9</v>
      </c>
      <c r="D63" s="4">
        <v>115.5</v>
      </c>
      <c r="E63" t="str">
        <f>VLOOKUP(Table2[[#This Row],[Code]],[1]!Table1[#All],2,FALSE)</f>
        <v>Notebook</v>
      </c>
      <c r="F63" t="str" cm="1">
        <f t="array" ref="F63">_xlfn.XLOOKUP(Table2[[#This Row],[Code]],[1]!Table1[[#All],[CODE]],[1]!Table1[[#All],[Category]])</f>
        <v>Stationery</v>
      </c>
      <c r="G63" cm="1">
        <f t="array" ref="G63">_xlfn.XLOOKUP(Table2[[#This Row],[Code]],[1]!Table1[[#All],[CODE]],[1]!Table1[[#All],[Rate]])</f>
        <v>115.5</v>
      </c>
      <c r="H63" s="5"/>
    </row>
    <row r="64" spans="1:8" x14ac:dyDescent="0.3">
      <c r="A64" s="3">
        <v>45659</v>
      </c>
      <c r="B64" s="1" t="s">
        <v>69</v>
      </c>
      <c r="C64" s="4">
        <v>27.2</v>
      </c>
      <c r="D64" s="4">
        <v>117</v>
      </c>
      <c r="E64" t="str">
        <f>VLOOKUP(Table2[[#This Row],[Code]],[1]!Table1[#All],2,FALSE)</f>
        <v>Marker</v>
      </c>
      <c r="F64" t="str" cm="1">
        <f t="array" ref="F64">_xlfn.XLOOKUP(Table2[[#This Row],[Code]],[1]!Table1[[#All],[CODE]],[1]!Table1[[#All],[Category]])</f>
        <v>Stationery</v>
      </c>
      <c r="G64" cm="1">
        <f t="array" ref="G64">_xlfn.XLOOKUP(Table2[[#This Row],[Code]],[1]!Table1[[#All],[CODE]],[1]!Table1[[#All],[Rate]])</f>
        <v>117</v>
      </c>
      <c r="H64" s="5"/>
    </row>
    <row r="65" spans="1:8" x14ac:dyDescent="0.3">
      <c r="A65" s="3">
        <v>45659</v>
      </c>
      <c r="B65" s="1" t="s">
        <v>70</v>
      </c>
      <c r="C65" s="4">
        <v>27.5</v>
      </c>
      <c r="D65" s="4">
        <v>118.5</v>
      </c>
      <c r="E65" t="str">
        <f>VLOOKUP(Table2[[#This Row],[Code]],[1]!Table1[#All],2,FALSE)</f>
        <v>Eraser</v>
      </c>
      <c r="F65" t="str" cm="1">
        <f t="array" ref="F65">_xlfn.XLOOKUP(Table2[[#This Row],[Code]],[1]!Table1[[#All],[CODE]],[1]!Table1[[#All],[Category]])</f>
        <v>Stationery</v>
      </c>
      <c r="G65" cm="1">
        <f t="array" ref="G65">_xlfn.XLOOKUP(Table2[[#This Row],[Code]],[1]!Table1[[#All],[CODE]],[1]!Table1[[#All],[Rate]])</f>
        <v>118.5</v>
      </c>
      <c r="H65" s="5"/>
    </row>
    <row r="66" spans="1:8" x14ac:dyDescent="0.3">
      <c r="A66" s="3">
        <v>45660</v>
      </c>
      <c r="B66" s="1" t="s">
        <v>71</v>
      </c>
      <c r="C66" s="4">
        <v>27.8</v>
      </c>
      <c r="D66" s="4">
        <v>120</v>
      </c>
      <c r="E66" t="str">
        <f>VLOOKUP(Table2[[#This Row],[Code]],[1]!Table1[#All],2,FALSE)</f>
        <v>File</v>
      </c>
      <c r="F66" t="str" cm="1">
        <f t="array" ref="F66">_xlfn.XLOOKUP(Table2[[#This Row],[Code]],[1]!Table1[[#All],[CODE]],[1]!Table1[[#All],[Category]])</f>
        <v>Office</v>
      </c>
      <c r="G66" cm="1">
        <f t="array" ref="G66">_xlfn.XLOOKUP(Table2[[#This Row],[Code]],[1]!Table1[[#All],[CODE]],[1]!Table1[[#All],[Rate]])</f>
        <v>120</v>
      </c>
      <c r="H66" s="5"/>
    </row>
    <row r="67" spans="1:8" x14ac:dyDescent="0.3">
      <c r="A67" s="3">
        <v>45658</v>
      </c>
      <c r="B67" s="1" t="s">
        <v>72</v>
      </c>
      <c r="C67" s="4">
        <v>28.1</v>
      </c>
      <c r="D67" s="4">
        <v>121.5</v>
      </c>
      <c r="E67" t="str">
        <f>VLOOKUP(Table2[[#This Row],[Code]],[1]!Table1[#All],2,FALSE)</f>
        <v>Pen</v>
      </c>
      <c r="F67" t="str" cm="1">
        <f t="array" ref="F67">_xlfn.XLOOKUP(Table2[[#This Row],[Code]],[1]!Table1[[#All],[CODE]],[1]!Table1[[#All],[Category]])</f>
        <v>Stationery</v>
      </c>
      <c r="G67" cm="1">
        <f t="array" ref="G67">_xlfn.XLOOKUP(Table2[[#This Row],[Code]],[1]!Table1[[#All],[CODE]],[1]!Table1[[#All],[Rate]])</f>
        <v>121.5</v>
      </c>
      <c r="H67" s="5"/>
    </row>
    <row r="68" spans="1:8" x14ac:dyDescent="0.3">
      <c r="A68" s="3">
        <v>45658</v>
      </c>
      <c r="B68" s="1" t="s">
        <v>73</v>
      </c>
      <c r="C68" s="4">
        <v>28.4</v>
      </c>
      <c r="D68" s="4">
        <v>123</v>
      </c>
      <c r="E68" t="str">
        <f>VLOOKUP(Table2[[#This Row],[Code]],[1]!Table1[#All],2,FALSE)</f>
        <v>Notebook</v>
      </c>
      <c r="F68" t="str" cm="1">
        <f t="array" ref="F68">_xlfn.XLOOKUP(Table2[[#This Row],[Code]],[1]!Table1[[#All],[CODE]],[1]!Table1[[#All],[Category]])</f>
        <v>Stationery</v>
      </c>
      <c r="G68" cm="1">
        <f t="array" ref="G68">_xlfn.XLOOKUP(Table2[[#This Row],[Code]],[1]!Table1[[#All],[CODE]],[1]!Table1[[#All],[Rate]])</f>
        <v>123</v>
      </c>
      <c r="H68" s="5"/>
    </row>
    <row r="69" spans="1:8" x14ac:dyDescent="0.3">
      <c r="A69" s="3">
        <v>45659</v>
      </c>
      <c r="B69" s="1" t="s">
        <v>74</v>
      </c>
      <c r="C69" s="4">
        <v>28.7</v>
      </c>
      <c r="D69" s="4">
        <v>124.5</v>
      </c>
      <c r="E69" t="str">
        <f>VLOOKUP(Table2[[#This Row],[Code]],[1]!Table1[#All],2,FALSE)</f>
        <v>Marker</v>
      </c>
      <c r="F69" t="str" cm="1">
        <f t="array" ref="F69">_xlfn.XLOOKUP(Table2[[#This Row],[Code]],[1]!Table1[[#All],[CODE]],[1]!Table1[[#All],[Category]])</f>
        <v>Stationery</v>
      </c>
      <c r="G69" cm="1">
        <f t="array" ref="G69">_xlfn.XLOOKUP(Table2[[#This Row],[Code]],[1]!Table1[[#All],[CODE]],[1]!Table1[[#All],[Rate]])</f>
        <v>124.5</v>
      </c>
      <c r="H69" s="5"/>
    </row>
    <row r="70" spans="1:8" x14ac:dyDescent="0.3">
      <c r="A70" s="3">
        <v>45659</v>
      </c>
      <c r="B70" s="1" t="s">
        <v>75</v>
      </c>
      <c r="C70" s="4">
        <v>29</v>
      </c>
      <c r="D70" s="4">
        <v>126</v>
      </c>
      <c r="E70" t="str">
        <f>VLOOKUP(Table2[[#This Row],[Code]],[1]!Table1[#All],2,FALSE)</f>
        <v>Eraser</v>
      </c>
      <c r="F70" t="str" cm="1">
        <f t="array" ref="F70">_xlfn.XLOOKUP(Table2[[#This Row],[Code]],[1]!Table1[[#All],[CODE]],[1]!Table1[[#All],[Category]])</f>
        <v>Stationery</v>
      </c>
      <c r="G70" cm="1">
        <f t="array" ref="G70">_xlfn.XLOOKUP(Table2[[#This Row],[Code]],[1]!Table1[[#All],[CODE]],[1]!Table1[[#All],[Rate]])</f>
        <v>126</v>
      </c>
      <c r="H70" s="5"/>
    </row>
    <row r="71" spans="1:8" x14ac:dyDescent="0.3">
      <c r="A71" s="3">
        <v>45660</v>
      </c>
      <c r="B71" s="1" t="s">
        <v>76</v>
      </c>
      <c r="C71" s="4">
        <v>29.3</v>
      </c>
      <c r="D71" s="4">
        <v>127.5</v>
      </c>
      <c r="E71" t="str">
        <f>VLOOKUP(Table2[[#This Row],[Code]],[1]!Table1[#All],2,FALSE)</f>
        <v>File</v>
      </c>
      <c r="F71" t="str" cm="1">
        <f t="array" ref="F71">_xlfn.XLOOKUP(Table2[[#This Row],[Code]],[1]!Table1[[#All],[CODE]],[1]!Table1[[#All],[Category]])</f>
        <v>Office</v>
      </c>
      <c r="G71" cm="1">
        <f t="array" ref="G71">_xlfn.XLOOKUP(Table2[[#This Row],[Code]],[1]!Table1[[#All],[CODE]],[1]!Table1[[#All],[Rate]])</f>
        <v>127.5</v>
      </c>
      <c r="H71" s="5"/>
    </row>
    <row r="72" spans="1:8" x14ac:dyDescent="0.3">
      <c r="A72" s="3">
        <v>45658</v>
      </c>
      <c r="B72" s="1" t="s">
        <v>77</v>
      </c>
      <c r="C72" s="4">
        <v>29.6</v>
      </c>
      <c r="D72" s="4">
        <v>129</v>
      </c>
      <c r="E72" t="str">
        <f>VLOOKUP(Table2[[#This Row],[Code]],[1]!Table1[#All],2,FALSE)</f>
        <v>Pen</v>
      </c>
      <c r="F72" t="str" cm="1">
        <f t="array" ref="F72">_xlfn.XLOOKUP(Table2[[#This Row],[Code]],[1]!Table1[[#All],[CODE]],[1]!Table1[[#All],[Category]])</f>
        <v>Stationery</v>
      </c>
      <c r="G72" cm="1">
        <f t="array" ref="G72">_xlfn.XLOOKUP(Table2[[#This Row],[Code]],[1]!Table1[[#All],[CODE]],[1]!Table1[[#All],[Rate]])</f>
        <v>129</v>
      </c>
      <c r="H72" s="5"/>
    </row>
    <row r="73" spans="1:8" x14ac:dyDescent="0.3">
      <c r="A73" s="3">
        <v>45658</v>
      </c>
      <c r="B73" s="1" t="s">
        <v>78</v>
      </c>
      <c r="C73" s="4">
        <v>29.9</v>
      </c>
      <c r="D73" s="4">
        <v>130.5</v>
      </c>
      <c r="E73" t="str">
        <f>VLOOKUP(Table2[[#This Row],[Code]],[1]!Table1[#All],2,FALSE)</f>
        <v>Notebook</v>
      </c>
      <c r="F73" t="str" cm="1">
        <f t="array" ref="F73">_xlfn.XLOOKUP(Table2[[#This Row],[Code]],[1]!Table1[[#All],[CODE]],[1]!Table1[[#All],[Category]])</f>
        <v>Stationery</v>
      </c>
      <c r="G73" cm="1">
        <f t="array" ref="G73">_xlfn.XLOOKUP(Table2[[#This Row],[Code]],[1]!Table1[[#All],[CODE]],[1]!Table1[[#All],[Rate]])</f>
        <v>130.5</v>
      </c>
      <c r="H73" s="5"/>
    </row>
    <row r="74" spans="1:8" x14ac:dyDescent="0.3">
      <c r="A74" s="3">
        <v>45659</v>
      </c>
      <c r="B74" s="1" t="s">
        <v>79</v>
      </c>
      <c r="C74" s="4">
        <v>30.2</v>
      </c>
      <c r="D74" s="4">
        <v>132</v>
      </c>
      <c r="E74" t="str">
        <f>VLOOKUP(Table2[[#This Row],[Code]],[1]!Table1[#All],2,FALSE)</f>
        <v>Marker</v>
      </c>
      <c r="F74" t="str" cm="1">
        <f t="array" ref="F74">_xlfn.XLOOKUP(Table2[[#This Row],[Code]],[1]!Table1[[#All],[CODE]],[1]!Table1[[#All],[Category]])</f>
        <v>Stationery</v>
      </c>
      <c r="G74" cm="1">
        <f t="array" ref="G74">_xlfn.XLOOKUP(Table2[[#This Row],[Code]],[1]!Table1[[#All],[CODE]],[1]!Table1[[#All],[Rate]])</f>
        <v>132</v>
      </c>
      <c r="H74" s="5"/>
    </row>
    <row r="75" spans="1:8" x14ac:dyDescent="0.3">
      <c r="A75" s="3">
        <v>45659</v>
      </c>
      <c r="B75" s="1" t="s">
        <v>80</v>
      </c>
      <c r="C75" s="4">
        <v>30.5</v>
      </c>
      <c r="D75" s="4">
        <v>133.5</v>
      </c>
      <c r="E75" t="str">
        <f>VLOOKUP(Table2[[#This Row],[Code]],[1]!Table1[#All],2,FALSE)</f>
        <v>Eraser</v>
      </c>
      <c r="F75" t="str" cm="1">
        <f t="array" ref="F75">_xlfn.XLOOKUP(Table2[[#This Row],[Code]],[1]!Table1[[#All],[CODE]],[1]!Table1[[#All],[Category]])</f>
        <v>Stationery</v>
      </c>
      <c r="G75" cm="1">
        <f t="array" ref="G75">_xlfn.XLOOKUP(Table2[[#This Row],[Code]],[1]!Table1[[#All],[CODE]],[1]!Table1[[#All],[Rate]])</f>
        <v>133.5</v>
      </c>
      <c r="H75" s="5"/>
    </row>
    <row r="76" spans="1:8" x14ac:dyDescent="0.3">
      <c r="A76" s="3">
        <v>45660</v>
      </c>
      <c r="B76" s="1" t="s">
        <v>81</v>
      </c>
      <c r="C76" s="4">
        <v>30.8</v>
      </c>
      <c r="D76" s="4">
        <v>135</v>
      </c>
      <c r="E76" t="str">
        <f>VLOOKUP(Table2[[#This Row],[Code]],[1]!Table1[#All],2,FALSE)</f>
        <v>File</v>
      </c>
      <c r="F76" t="str" cm="1">
        <f t="array" ref="F76">_xlfn.XLOOKUP(Table2[[#This Row],[Code]],[1]!Table1[[#All],[CODE]],[1]!Table1[[#All],[Category]])</f>
        <v>Office</v>
      </c>
      <c r="G76" cm="1">
        <f t="array" ref="G76">_xlfn.XLOOKUP(Table2[[#This Row],[Code]],[1]!Table1[[#All],[CODE]],[1]!Table1[[#All],[Rate]])</f>
        <v>135</v>
      </c>
      <c r="H76" s="5"/>
    </row>
    <row r="77" spans="1:8" x14ac:dyDescent="0.3">
      <c r="A77" s="3">
        <v>45658</v>
      </c>
      <c r="B77" s="1" t="s">
        <v>82</v>
      </c>
      <c r="C77" s="4">
        <v>31.1</v>
      </c>
      <c r="D77" s="4">
        <v>136.5</v>
      </c>
      <c r="E77" t="str">
        <f>VLOOKUP(Table2[[#This Row],[Code]],[1]!Table1[#All],2,FALSE)</f>
        <v>Pen</v>
      </c>
      <c r="F77" t="str" cm="1">
        <f t="array" ref="F77">_xlfn.XLOOKUP(Table2[[#This Row],[Code]],[1]!Table1[[#All],[CODE]],[1]!Table1[[#All],[Category]])</f>
        <v>Stationery</v>
      </c>
      <c r="G77" cm="1">
        <f t="array" ref="G77">_xlfn.XLOOKUP(Table2[[#This Row],[Code]],[1]!Table1[[#All],[CODE]],[1]!Table1[[#All],[Rate]])</f>
        <v>136.5</v>
      </c>
      <c r="H77" s="5"/>
    </row>
    <row r="78" spans="1:8" x14ac:dyDescent="0.3">
      <c r="A78" s="3">
        <v>45658</v>
      </c>
      <c r="B78" s="1" t="s">
        <v>83</v>
      </c>
      <c r="C78" s="4">
        <v>31.4</v>
      </c>
      <c r="D78" s="4">
        <v>138</v>
      </c>
      <c r="E78" t="str">
        <f>VLOOKUP(Table2[[#This Row],[Code]],[1]!Table1[#All],2,FALSE)</f>
        <v>Notebook</v>
      </c>
      <c r="F78" t="str" cm="1">
        <f t="array" ref="F78">_xlfn.XLOOKUP(Table2[[#This Row],[Code]],[1]!Table1[[#All],[CODE]],[1]!Table1[[#All],[Category]])</f>
        <v>Stationery</v>
      </c>
      <c r="G78" cm="1">
        <f t="array" ref="G78">_xlfn.XLOOKUP(Table2[[#This Row],[Code]],[1]!Table1[[#All],[CODE]],[1]!Table1[[#All],[Rate]])</f>
        <v>138</v>
      </c>
      <c r="H78" s="5"/>
    </row>
    <row r="79" spans="1:8" x14ac:dyDescent="0.3">
      <c r="A79" s="3">
        <v>45659</v>
      </c>
      <c r="B79" s="1" t="s">
        <v>84</v>
      </c>
      <c r="C79" s="4">
        <v>31.7</v>
      </c>
      <c r="D79" s="4">
        <v>139.5</v>
      </c>
      <c r="E79" t="str">
        <f>VLOOKUP(Table2[[#This Row],[Code]],[1]!Table1[#All],2,FALSE)</f>
        <v>Marker</v>
      </c>
      <c r="F79" t="str" cm="1">
        <f t="array" ref="F79">_xlfn.XLOOKUP(Table2[[#This Row],[Code]],[1]!Table1[[#All],[CODE]],[1]!Table1[[#All],[Category]])</f>
        <v>Stationery</v>
      </c>
      <c r="G79" cm="1">
        <f t="array" ref="G79">_xlfn.XLOOKUP(Table2[[#This Row],[Code]],[1]!Table1[[#All],[CODE]],[1]!Table1[[#All],[Rate]])</f>
        <v>139.5</v>
      </c>
      <c r="H79" s="5"/>
    </row>
    <row r="80" spans="1:8" x14ac:dyDescent="0.3">
      <c r="A80" s="3">
        <v>45659</v>
      </c>
      <c r="B80" s="1" t="s">
        <v>85</v>
      </c>
      <c r="C80" s="4">
        <v>32</v>
      </c>
      <c r="D80" s="4">
        <v>141</v>
      </c>
      <c r="E80" t="str">
        <f>VLOOKUP(Table2[[#This Row],[Code]],[1]!Table1[#All],2,FALSE)</f>
        <v>Eraser</v>
      </c>
      <c r="F80" t="str" cm="1">
        <f t="array" ref="F80">_xlfn.XLOOKUP(Table2[[#This Row],[Code]],[1]!Table1[[#All],[CODE]],[1]!Table1[[#All],[Category]])</f>
        <v>Stationery</v>
      </c>
      <c r="G80" cm="1">
        <f t="array" ref="G80">_xlfn.XLOOKUP(Table2[[#This Row],[Code]],[1]!Table1[[#All],[CODE]],[1]!Table1[[#All],[Rate]])</f>
        <v>141</v>
      </c>
      <c r="H80" s="5"/>
    </row>
    <row r="81" spans="1:8" x14ac:dyDescent="0.3">
      <c r="A81" s="3">
        <v>45660</v>
      </c>
      <c r="B81" s="1" t="s">
        <v>86</v>
      </c>
      <c r="C81" s="4">
        <v>32.299999999999997</v>
      </c>
      <c r="D81" s="4">
        <v>142.5</v>
      </c>
      <c r="E81" t="str">
        <f>VLOOKUP(Table2[[#This Row],[Code]],[1]!Table1[#All],2,FALSE)</f>
        <v>File</v>
      </c>
      <c r="F81" t="str" cm="1">
        <f t="array" ref="F81">_xlfn.XLOOKUP(Table2[[#This Row],[Code]],[1]!Table1[[#All],[CODE]],[1]!Table1[[#All],[Category]])</f>
        <v>Office</v>
      </c>
      <c r="G81" cm="1">
        <f t="array" ref="G81">_xlfn.XLOOKUP(Table2[[#This Row],[Code]],[1]!Table1[[#All],[CODE]],[1]!Table1[[#All],[Rate]])</f>
        <v>142.5</v>
      </c>
      <c r="H81" s="5"/>
    </row>
    <row r="82" spans="1:8" x14ac:dyDescent="0.3">
      <c r="A82" s="3">
        <v>45658</v>
      </c>
      <c r="B82" s="1" t="s">
        <v>87</v>
      </c>
      <c r="C82" s="4">
        <v>32.6</v>
      </c>
      <c r="D82" s="4">
        <v>144</v>
      </c>
      <c r="E82" t="str">
        <f>VLOOKUP(Table2[[#This Row],[Code]],[1]!Table1[#All],2,FALSE)</f>
        <v>Pen</v>
      </c>
      <c r="F82" t="str" cm="1">
        <f t="array" ref="F82">_xlfn.XLOOKUP(Table2[[#This Row],[Code]],[1]!Table1[[#All],[CODE]],[1]!Table1[[#All],[Category]])</f>
        <v>Stationery</v>
      </c>
      <c r="G82" cm="1">
        <f t="array" ref="G82">_xlfn.XLOOKUP(Table2[[#This Row],[Code]],[1]!Table1[[#All],[CODE]],[1]!Table1[[#All],[Rate]])</f>
        <v>144</v>
      </c>
      <c r="H82" s="5"/>
    </row>
    <row r="83" spans="1:8" x14ac:dyDescent="0.3">
      <c r="A83" s="3">
        <v>45658</v>
      </c>
      <c r="B83" s="1" t="s">
        <v>88</v>
      </c>
      <c r="C83" s="4">
        <v>32.9</v>
      </c>
      <c r="D83" s="4">
        <v>145.5</v>
      </c>
      <c r="E83" t="str">
        <f>VLOOKUP(Table2[[#This Row],[Code]],[1]!Table1[#All],2,FALSE)</f>
        <v>Notebook</v>
      </c>
      <c r="F83" t="str" cm="1">
        <f t="array" ref="F83">_xlfn.XLOOKUP(Table2[[#This Row],[Code]],[1]!Table1[[#All],[CODE]],[1]!Table1[[#All],[Category]])</f>
        <v>Stationery</v>
      </c>
      <c r="G83" cm="1">
        <f t="array" ref="G83">_xlfn.XLOOKUP(Table2[[#This Row],[Code]],[1]!Table1[[#All],[CODE]],[1]!Table1[[#All],[Rate]])</f>
        <v>145.5</v>
      </c>
      <c r="H83" s="5"/>
    </row>
    <row r="84" spans="1:8" x14ac:dyDescent="0.3">
      <c r="A84" s="3">
        <v>45659</v>
      </c>
      <c r="B84" s="1" t="s">
        <v>89</v>
      </c>
      <c r="C84" s="4">
        <v>33.200000000000003</v>
      </c>
      <c r="D84" s="4">
        <v>147</v>
      </c>
      <c r="E84" t="str">
        <f>VLOOKUP(Table2[[#This Row],[Code]],[1]!Table1[#All],2,FALSE)</f>
        <v>Marker</v>
      </c>
      <c r="F84" t="str" cm="1">
        <f t="array" ref="F84">_xlfn.XLOOKUP(Table2[[#This Row],[Code]],[1]!Table1[[#All],[CODE]],[1]!Table1[[#All],[Category]])</f>
        <v>Stationery</v>
      </c>
      <c r="G84" cm="1">
        <f t="array" ref="G84">_xlfn.XLOOKUP(Table2[[#This Row],[Code]],[1]!Table1[[#All],[CODE]],[1]!Table1[[#All],[Rate]])</f>
        <v>147</v>
      </c>
      <c r="H84" s="5"/>
    </row>
    <row r="85" spans="1:8" x14ac:dyDescent="0.3">
      <c r="A85" s="3">
        <v>45659</v>
      </c>
      <c r="B85" s="1" t="s">
        <v>90</v>
      </c>
      <c r="C85" s="4">
        <v>33.5</v>
      </c>
      <c r="D85" s="4">
        <v>148.5</v>
      </c>
      <c r="E85" t="str">
        <f>VLOOKUP(Table2[[#This Row],[Code]],[1]!Table1[#All],2,FALSE)</f>
        <v>Eraser</v>
      </c>
      <c r="F85" t="str" cm="1">
        <f t="array" ref="F85">_xlfn.XLOOKUP(Table2[[#This Row],[Code]],[1]!Table1[[#All],[CODE]],[1]!Table1[[#All],[Category]])</f>
        <v>Stationery</v>
      </c>
      <c r="G85" cm="1">
        <f t="array" ref="G85">_xlfn.XLOOKUP(Table2[[#This Row],[Code]],[1]!Table1[[#All],[CODE]],[1]!Table1[[#All],[Rate]])</f>
        <v>148.5</v>
      </c>
      <c r="H85" s="5"/>
    </row>
    <row r="86" spans="1:8" x14ac:dyDescent="0.3">
      <c r="A86" s="3">
        <v>45660</v>
      </c>
      <c r="B86" s="1" t="s">
        <v>91</v>
      </c>
      <c r="C86" s="4">
        <v>33.799999999999997</v>
      </c>
      <c r="D86" s="4">
        <v>150</v>
      </c>
      <c r="E86" t="str">
        <f>VLOOKUP(Table2[[#This Row],[Code]],[1]!Table1[#All],2,FALSE)</f>
        <v>File</v>
      </c>
      <c r="F86" t="str" cm="1">
        <f t="array" ref="F86">_xlfn.XLOOKUP(Table2[[#This Row],[Code]],[1]!Table1[[#All],[CODE]],[1]!Table1[[#All],[Category]])</f>
        <v>Office</v>
      </c>
      <c r="G86" cm="1">
        <f t="array" ref="G86">_xlfn.XLOOKUP(Table2[[#This Row],[Code]],[1]!Table1[[#All],[CODE]],[1]!Table1[[#All],[Rate]])</f>
        <v>150</v>
      </c>
      <c r="H86" s="5"/>
    </row>
    <row r="87" spans="1:8" x14ac:dyDescent="0.3">
      <c r="A87" s="3">
        <v>45658</v>
      </c>
      <c r="B87" s="1" t="s">
        <v>92</v>
      </c>
      <c r="C87" s="4">
        <v>34.1</v>
      </c>
      <c r="D87" s="4">
        <v>151.5</v>
      </c>
      <c r="E87" t="str">
        <f>VLOOKUP(Table2[[#This Row],[Code]],[1]!Table1[#All],2,FALSE)</f>
        <v>Pen</v>
      </c>
      <c r="F87" t="str" cm="1">
        <f t="array" ref="F87">_xlfn.XLOOKUP(Table2[[#This Row],[Code]],[1]!Table1[[#All],[CODE]],[1]!Table1[[#All],[Category]])</f>
        <v>Stationery</v>
      </c>
      <c r="G87" cm="1">
        <f t="array" ref="G87">_xlfn.XLOOKUP(Table2[[#This Row],[Code]],[1]!Table1[[#All],[CODE]],[1]!Table1[[#All],[Rate]])</f>
        <v>151.5</v>
      </c>
      <c r="H87" s="5"/>
    </row>
    <row r="88" spans="1:8" x14ac:dyDescent="0.3">
      <c r="A88" s="3">
        <v>45658</v>
      </c>
      <c r="B88" s="1" t="s">
        <v>93</v>
      </c>
      <c r="C88" s="4">
        <v>34.4</v>
      </c>
      <c r="D88" s="4">
        <v>153</v>
      </c>
      <c r="E88" t="str">
        <f>VLOOKUP(Table2[[#This Row],[Code]],[1]!Table1[#All],2,FALSE)</f>
        <v>Notebook</v>
      </c>
      <c r="F88" t="str" cm="1">
        <f t="array" ref="F88">_xlfn.XLOOKUP(Table2[[#This Row],[Code]],[1]!Table1[[#All],[CODE]],[1]!Table1[[#All],[Category]])</f>
        <v>Stationery</v>
      </c>
      <c r="G88" cm="1">
        <f t="array" ref="G88">_xlfn.XLOOKUP(Table2[[#This Row],[Code]],[1]!Table1[[#All],[CODE]],[1]!Table1[[#All],[Rate]])</f>
        <v>153</v>
      </c>
      <c r="H88" s="5"/>
    </row>
    <row r="89" spans="1:8" x14ac:dyDescent="0.3">
      <c r="A89" s="3">
        <v>45659</v>
      </c>
      <c r="B89" s="1" t="s">
        <v>94</v>
      </c>
      <c r="C89" s="4">
        <v>34.700000000000003</v>
      </c>
      <c r="D89" s="4">
        <v>154.5</v>
      </c>
      <c r="E89" t="str">
        <f>VLOOKUP(Table2[[#This Row],[Code]],[1]!Table1[#All],2,FALSE)</f>
        <v>Marker</v>
      </c>
      <c r="F89" t="str" cm="1">
        <f t="array" ref="F89">_xlfn.XLOOKUP(Table2[[#This Row],[Code]],[1]!Table1[[#All],[CODE]],[1]!Table1[[#All],[Category]])</f>
        <v>Stationery</v>
      </c>
      <c r="G89" cm="1">
        <f t="array" ref="G89">_xlfn.XLOOKUP(Table2[[#This Row],[Code]],[1]!Table1[[#All],[CODE]],[1]!Table1[[#All],[Rate]])</f>
        <v>154.5</v>
      </c>
      <c r="H89" s="5"/>
    </row>
    <row r="90" spans="1:8" x14ac:dyDescent="0.3">
      <c r="A90" s="3">
        <v>45659</v>
      </c>
      <c r="B90" s="1" t="s">
        <v>95</v>
      </c>
      <c r="C90" s="4">
        <v>35</v>
      </c>
      <c r="D90" s="4">
        <v>156</v>
      </c>
      <c r="E90" t="str">
        <f>VLOOKUP(Table2[[#This Row],[Code]],[1]!Table1[#All],2,FALSE)</f>
        <v>Eraser</v>
      </c>
      <c r="F90" t="str" cm="1">
        <f t="array" ref="F90">_xlfn.XLOOKUP(Table2[[#This Row],[Code]],[1]!Table1[[#All],[CODE]],[1]!Table1[[#All],[Category]])</f>
        <v>Stationery</v>
      </c>
      <c r="G90" cm="1">
        <f t="array" ref="G90">_xlfn.XLOOKUP(Table2[[#This Row],[Code]],[1]!Table1[[#All],[CODE]],[1]!Table1[[#All],[Rate]])</f>
        <v>156</v>
      </c>
      <c r="H90" s="5"/>
    </row>
    <row r="91" spans="1:8" x14ac:dyDescent="0.3">
      <c r="A91" s="3">
        <v>45660</v>
      </c>
      <c r="B91" s="1" t="s">
        <v>96</v>
      </c>
      <c r="C91" s="4">
        <v>35.299999999999997</v>
      </c>
      <c r="D91" s="4">
        <v>157.5</v>
      </c>
      <c r="E91" t="str">
        <f>VLOOKUP(Table2[[#This Row],[Code]],[1]!Table1[#All],2,FALSE)</f>
        <v>File</v>
      </c>
      <c r="F91" t="str" cm="1">
        <f t="array" ref="F91">_xlfn.XLOOKUP(Table2[[#This Row],[Code]],[1]!Table1[[#All],[CODE]],[1]!Table1[[#All],[Category]])</f>
        <v>Office</v>
      </c>
      <c r="G91" cm="1">
        <f t="array" ref="G91">_xlfn.XLOOKUP(Table2[[#This Row],[Code]],[1]!Table1[[#All],[CODE]],[1]!Table1[[#All],[Rate]])</f>
        <v>157.5</v>
      </c>
      <c r="H91" s="5"/>
    </row>
    <row r="92" spans="1:8" x14ac:dyDescent="0.3">
      <c r="A92" s="3">
        <v>45658</v>
      </c>
      <c r="B92" s="1" t="s">
        <v>97</v>
      </c>
      <c r="C92" s="4">
        <v>35.6</v>
      </c>
      <c r="D92" s="4">
        <v>159</v>
      </c>
      <c r="E92" t="str">
        <f>VLOOKUP(Table2[[#This Row],[Code]],[1]!Table1[#All],2,FALSE)</f>
        <v>Pen</v>
      </c>
      <c r="F92" t="str" cm="1">
        <f t="array" ref="F92">_xlfn.XLOOKUP(Table2[[#This Row],[Code]],[1]!Table1[[#All],[CODE]],[1]!Table1[[#All],[Category]])</f>
        <v>Stationery</v>
      </c>
      <c r="G92" cm="1">
        <f t="array" ref="G92">_xlfn.XLOOKUP(Table2[[#This Row],[Code]],[1]!Table1[[#All],[CODE]],[1]!Table1[[#All],[Rate]])</f>
        <v>159</v>
      </c>
      <c r="H92" s="5"/>
    </row>
    <row r="93" spans="1:8" x14ac:dyDescent="0.3">
      <c r="A93" s="3">
        <v>45658</v>
      </c>
      <c r="B93" s="1" t="s">
        <v>98</v>
      </c>
      <c r="C93" s="4">
        <v>35.9</v>
      </c>
      <c r="D93" s="4">
        <v>160.5</v>
      </c>
      <c r="E93" t="str">
        <f>VLOOKUP(Table2[[#This Row],[Code]],[1]!Table1[#All],2,FALSE)</f>
        <v>Notebook</v>
      </c>
      <c r="F93" t="str" cm="1">
        <f t="array" ref="F93">_xlfn.XLOOKUP(Table2[[#This Row],[Code]],[1]!Table1[[#All],[CODE]],[1]!Table1[[#All],[Category]])</f>
        <v>Stationery</v>
      </c>
      <c r="G93" cm="1">
        <f t="array" ref="G93">_xlfn.XLOOKUP(Table2[[#This Row],[Code]],[1]!Table1[[#All],[CODE]],[1]!Table1[[#All],[Rate]])</f>
        <v>160.5</v>
      </c>
      <c r="H93" s="5"/>
    </row>
    <row r="94" spans="1:8" x14ac:dyDescent="0.3">
      <c r="A94" s="3">
        <v>45659</v>
      </c>
      <c r="B94" s="1" t="s">
        <v>99</v>
      </c>
      <c r="C94" s="4">
        <v>36.200000000000003</v>
      </c>
      <c r="D94" s="4">
        <v>162</v>
      </c>
      <c r="E94" t="str">
        <f>VLOOKUP(Table2[[#This Row],[Code]],[1]!Table1[#All],2,FALSE)</f>
        <v>Marker</v>
      </c>
      <c r="F94" t="str" cm="1">
        <f t="array" ref="F94">_xlfn.XLOOKUP(Table2[[#This Row],[Code]],[1]!Table1[[#All],[CODE]],[1]!Table1[[#All],[Category]])</f>
        <v>Stationery</v>
      </c>
      <c r="G94" cm="1">
        <f t="array" ref="G94">_xlfn.XLOOKUP(Table2[[#This Row],[Code]],[1]!Table1[[#All],[CODE]],[1]!Table1[[#All],[Rate]])</f>
        <v>162</v>
      </c>
      <c r="H94" s="5"/>
    </row>
    <row r="95" spans="1:8" x14ac:dyDescent="0.3">
      <c r="A95" s="3">
        <v>45659</v>
      </c>
      <c r="B95" s="1" t="s">
        <v>100</v>
      </c>
      <c r="C95" s="4">
        <v>36.5</v>
      </c>
      <c r="D95" s="4">
        <v>163.5</v>
      </c>
      <c r="E95" t="str">
        <f>VLOOKUP(Table2[[#This Row],[Code]],[1]!Table1[#All],2,FALSE)</f>
        <v>Eraser</v>
      </c>
      <c r="F95" t="str" cm="1">
        <f t="array" ref="F95">_xlfn.XLOOKUP(Table2[[#This Row],[Code]],[1]!Table1[[#All],[CODE]],[1]!Table1[[#All],[Category]])</f>
        <v>Stationery</v>
      </c>
      <c r="G95" cm="1">
        <f t="array" ref="G95">_xlfn.XLOOKUP(Table2[[#This Row],[Code]],[1]!Table1[[#All],[CODE]],[1]!Table1[[#All],[Rate]])</f>
        <v>163.5</v>
      </c>
      <c r="H95" s="5"/>
    </row>
    <row r="96" spans="1:8" x14ac:dyDescent="0.3">
      <c r="A96" s="3">
        <v>45660</v>
      </c>
      <c r="B96" s="1" t="s">
        <v>101</v>
      </c>
      <c r="C96" s="4">
        <v>36.799999999999997</v>
      </c>
      <c r="D96" s="4">
        <v>165</v>
      </c>
      <c r="E96" t="str">
        <f>VLOOKUP(Table2[[#This Row],[Code]],[1]!Table1[#All],2,FALSE)</f>
        <v>File</v>
      </c>
      <c r="F96" t="str" cm="1">
        <f t="array" ref="F96">_xlfn.XLOOKUP(Table2[[#This Row],[Code]],[1]!Table1[[#All],[CODE]],[1]!Table1[[#All],[Category]])</f>
        <v>Office</v>
      </c>
      <c r="G96" cm="1">
        <f t="array" ref="G96">_xlfn.XLOOKUP(Table2[[#This Row],[Code]],[1]!Table1[[#All],[CODE]],[1]!Table1[[#All],[Rate]])</f>
        <v>165</v>
      </c>
      <c r="H96" s="5"/>
    </row>
    <row r="97" spans="1:8" x14ac:dyDescent="0.3">
      <c r="A97" s="3">
        <v>45658</v>
      </c>
      <c r="B97" s="1" t="s">
        <v>102</v>
      </c>
      <c r="C97" s="4">
        <v>37.1</v>
      </c>
      <c r="D97" s="4">
        <v>166.5</v>
      </c>
      <c r="E97" t="str">
        <f>VLOOKUP(Table2[[#This Row],[Code]],[1]!Table1[#All],2,FALSE)</f>
        <v>Pen</v>
      </c>
      <c r="F97" t="str" cm="1">
        <f t="array" ref="F97">_xlfn.XLOOKUP(Table2[[#This Row],[Code]],[1]!Table1[[#All],[CODE]],[1]!Table1[[#All],[Category]])</f>
        <v>Stationery</v>
      </c>
      <c r="G97" cm="1">
        <f t="array" ref="G97">_xlfn.XLOOKUP(Table2[[#This Row],[Code]],[1]!Table1[[#All],[CODE]],[1]!Table1[[#All],[Rate]])</f>
        <v>166.5</v>
      </c>
      <c r="H97" s="5"/>
    </row>
    <row r="98" spans="1:8" x14ac:dyDescent="0.3">
      <c r="A98" s="3">
        <v>45658</v>
      </c>
      <c r="B98" s="1" t="s">
        <v>103</v>
      </c>
      <c r="C98" s="4">
        <v>37.4</v>
      </c>
      <c r="D98" s="4">
        <v>168</v>
      </c>
      <c r="E98" t="str">
        <f>VLOOKUP(Table2[[#This Row],[Code]],[1]!Table1[#All],2,FALSE)</f>
        <v>Notebook</v>
      </c>
      <c r="F98" t="str" cm="1">
        <f t="array" ref="F98">_xlfn.XLOOKUP(Table2[[#This Row],[Code]],[1]!Table1[[#All],[CODE]],[1]!Table1[[#All],[Category]])</f>
        <v>Stationery</v>
      </c>
      <c r="G98" cm="1">
        <f t="array" ref="G98">_xlfn.XLOOKUP(Table2[[#This Row],[Code]],[1]!Table1[[#All],[CODE]],[1]!Table1[[#All],[Rate]])</f>
        <v>168</v>
      </c>
      <c r="H98" s="5"/>
    </row>
    <row r="99" spans="1:8" x14ac:dyDescent="0.3">
      <c r="A99" s="3">
        <v>45659</v>
      </c>
      <c r="B99" s="1" t="s">
        <v>104</v>
      </c>
      <c r="C99" s="4">
        <v>37.700000000000003</v>
      </c>
      <c r="D99" s="4">
        <v>169.5</v>
      </c>
      <c r="E99" t="str">
        <f>VLOOKUP(Table2[[#This Row],[Code]],[1]!Table1[#All],2,FALSE)</f>
        <v>Marker</v>
      </c>
      <c r="F99" t="str" cm="1">
        <f t="array" ref="F99">_xlfn.XLOOKUP(Table2[[#This Row],[Code]],[1]!Table1[[#All],[CODE]],[1]!Table1[[#All],[Category]])</f>
        <v>Stationery</v>
      </c>
      <c r="G99" cm="1">
        <f t="array" ref="G99">_xlfn.XLOOKUP(Table2[[#This Row],[Code]],[1]!Table1[[#All],[CODE]],[1]!Table1[[#All],[Rate]])</f>
        <v>169.5</v>
      </c>
      <c r="H99" s="5"/>
    </row>
    <row r="100" spans="1:8" x14ac:dyDescent="0.3">
      <c r="A100" s="3">
        <v>45659</v>
      </c>
      <c r="B100" s="1" t="s">
        <v>105</v>
      </c>
      <c r="C100" s="4">
        <v>37.999999999999901</v>
      </c>
      <c r="D100" s="4">
        <v>171</v>
      </c>
      <c r="E100" t="str">
        <f>VLOOKUP(Table2[[#This Row],[Code]],[1]!Table1[#All],2,FALSE)</f>
        <v>Eraser</v>
      </c>
      <c r="F100" t="str" cm="1">
        <f t="array" ref="F100">_xlfn.XLOOKUP(Table2[[#This Row],[Code]],[1]!Table1[[#All],[CODE]],[1]!Table1[[#All],[Category]])</f>
        <v>Stationery</v>
      </c>
      <c r="G100" cm="1">
        <f t="array" ref="G100">_xlfn.XLOOKUP(Table2[[#This Row],[Code]],[1]!Table1[[#All],[CODE]],[1]!Table1[[#All],[Rate]])</f>
        <v>171</v>
      </c>
      <c r="H100" s="5"/>
    </row>
    <row r="101" spans="1:8" x14ac:dyDescent="0.3">
      <c r="A101" s="3">
        <v>45660</v>
      </c>
      <c r="B101" s="1" t="s">
        <v>106</v>
      </c>
      <c r="C101" s="4">
        <v>38.299999999999898</v>
      </c>
      <c r="D101" s="4">
        <v>172.5</v>
      </c>
      <c r="E101" t="str">
        <f>VLOOKUP(Table2[[#This Row],[Code]],[1]!Table1[#All],2,FALSE)</f>
        <v>File</v>
      </c>
      <c r="F101" t="str" cm="1">
        <f t="array" ref="F101">_xlfn.XLOOKUP(Table2[[#This Row],[Code]],[1]!Table1[[#All],[CODE]],[1]!Table1[[#All],[Category]])</f>
        <v>Office</v>
      </c>
      <c r="G101" cm="1">
        <f t="array" ref="G101">_xlfn.XLOOKUP(Table2[[#This Row],[Code]],[1]!Table1[[#All],[CODE]],[1]!Table1[[#All],[Rate]])</f>
        <v>172.5</v>
      </c>
      <c r="H101" s="5"/>
    </row>
    <row r="102" spans="1:8" x14ac:dyDescent="0.3">
      <c r="A102" s="3">
        <v>45658</v>
      </c>
      <c r="B102" s="1" t="s">
        <v>107</v>
      </c>
      <c r="C102" s="4">
        <v>38.6</v>
      </c>
      <c r="D102" s="4">
        <v>174</v>
      </c>
      <c r="E102" t="str">
        <f>VLOOKUP(Table2[[#This Row],[Code]],[1]!Table1[#All],2,FALSE)</f>
        <v>Pen</v>
      </c>
      <c r="F102" t="str" cm="1">
        <f t="array" ref="F102">_xlfn.XLOOKUP(Table2[[#This Row],[Code]],[1]!Table1[[#All],[CODE]],[1]!Table1[[#All],[Category]])</f>
        <v>Stationery</v>
      </c>
      <c r="G102" cm="1">
        <f t="array" ref="G102">_xlfn.XLOOKUP(Table2[[#This Row],[Code]],[1]!Table1[[#All],[CODE]],[1]!Table1[[#All],[Rate]])</f>
        <v>174</v>
      </c>
      <c r="H102" s="5"/>
    </row>
    <row r="103" spans="1:8" x14ac:dyDescent="0.3">
      <c r="A103" s="3">
        <v>45658</v>
      </c>
      <c r="B103" s="1" t="s">
        <v>108</v>
      </c>
      <c r="C103" s="4">
        <v>38.899999999999899</v>
      </c>
      <c r="D103" s="4">
        <v>175.5</v>
      </c>
      <c r="E103" t="str">
        <f>VLOOKUP(Table2[[#This Row],[Code]],[1]!Table1[#All],2,FALSE)</f>
        <v>Notebook</v>
      </c>
      <c r="F103" t="str" cm="1">
        <f t="array" ref="F103">_xlfn.XLOOKUP(Table2[[#This Row],[Code]],[1]!Table1[[#All],[CODE]],[1]!Table1[[#All],[Category]])</f>
        <v>Stationery</v>
      </c>
      <c r="G103" cm="1">
        <f t="array" ref="G103">_xlfn.XLOOKUP(Table2[[#This Row],[Code]],[1]!Table1[[#All],[CODE]],[1]!Table1[[#All],[Rate]])</f>
        <v>175.5</v>
      </c>
      <c r="H103" s="5"/>
    </row>
    <row r="104" spans="1:8" x14ac:dyDescent="0.3">
      <c r="A104" s="3">
        <v>45659</v>
      </c>
      <c r="B104" s="1" t="s">
        <v>109</v>
      </c>
      <c r="C104" s="4">
        <v>39.199999999999903</v>
      </c>
      <c r="D104" s="4">
        <v>177</v>
      </c>
      <c r="E104" t="str">
        <f>VLOOKUP(Table2[[#This Row],[Code]],[1]!Table1[#All],2,FALSE)</f>
        <v>Marker</v>
      </c>
      <c r="F104" t="str" cm="1">
        <f t="array" ref="F104">_xlfn.XLOOKUP(Table2[[#This Row],[Code]],[1]!Table1[[#All],[CODE]],[1]!Table1[[#All],[Category]])</f>
        <v>Stationery</v>
      </c>
      <c r="G104" cm="1">
        <f t="array" ref="G104">_xlfn.XLOOKUP(Table2[[#This Row],[Code]],[1]!Table1[[#All],[CODE]],[1]!Table1[[#All],[Rate]])</f>
        <v>177</v>
      </c>
      <c r="H104" s="5"/>
    </row>
    <row r="105" spans="1:8" x14ac:dyDescent="0.3">
      <c r="A105" s="3">
        <v>45659</v>
      </c>
      <c r="B105" s="1" t="s">
        <v>110</v>
      </c>
      <c r="C105" s="4">
        <v>39.499999999999901</v>
      </c>
      <c r="D105" s="4">
        <v>178.5</v>
      </c>
      <c r="E105" t="str">
        <f>VLOOKUP(Table2[[#This Row],[Code]],[1]!Table1[#All],2,FALSE)</f>
        <v>Eraser</v>
      </c>
      <c r="F105" t="str" cm="1">
        <f t="array" ref="F105">_xlfn.XLOOKUP(Table2[[#This Row],[Code]],[1]!Table1[[#All],[CODE]],[1]!Table1[[#All],[Category]])</f>
        <v>Stationery</v>
      </c>
      <c r="G105" cm="1">
        <f t="array" ref="G105">_xlfn.XLOOKUP(Table2[[#This Row],[Code]],[1]!Table1[[#All],[CODE]],[1]!Table1[[#All],[Rate]])</f>
        <v>178.5</v>
      </c>
      <c r="H105" s="5"/>
    </row>
    <row r="106" spans="1:8" x14ac:dyDescent="0.3">
      <c r="A106" s="3">
        <v>45660</v>
      </c>
      <c r="B106" s="1" t="s">
        <v>111</v>
      </c>
      <c r="C106" s="4">
        <v>39.799999999999898</v>
      </c>
      <c r="D106" s="4">
        <v>180</v>
      </c>
      <c r="E106" t="str">
        <f>VLOOKUP(Table2[[#This Row],[Code]],[1]!Table1[#All],2,FALSE)</f>
        <v>File</v>
      </c>
      <c r="F106" t="str" cm="1">
        <f t="array" ref="F106">_xlfn.XLOOKUP(Table2[[#This Row],[Code]],[1]!Table1[[#All],[CODE]],[1]!Table1[[#All],[Category]])</f>
        <v>Office</v>
      </c>
      <c r="G106" cm="1">
        <f t="array" ref="G106">_xlfn.XLOOKUP(Table2[[#This Row],[Code]],[1]!Table1[[#All],[CODE]],[1]!Table1[[#All],[Rate]])</f>
        <v>180</v>
      </c>
      <c r="H106" s="5"/>
    </row>
    <row r="107" spans="1:8" x14ac:dyDescent="0.3">
      <c r="A107" s="3">
        <v>45658</v>
      </c>
      <c r="B107" s="1" t="s">
        <v>112</v>
      </c>
      <c r="C107" s="4">
        <v>40.099999999999902</v>
      </c>
      <c r="D107" s="4">
        <v>181.5</v>
      </c>
      <c r="E107" t="str">
        <f>VLOOKUP(Table2[[#This Row],[Code]],[1]!Table1[#All],2,FALSE)</f>
        <v>Pen</v>
      </c>
      <c r="F107" t="str" cm="1">
        <f t="array" ref="F107">_xlfn.XLOOKUP(Table2[[#This Row],[Code]],[1]!Table1[[#All],[CODE]],[1]!Table1[[#All],[Category]])</f>
        <v>Stationery</v>
      </c>
      <c r="G107" cm="1">
        <f t="array" ref="G107">_xlfn.XLOOKUP(Table2[[#This Row],[Code]],[1]!Table1[[#All],[CODE]],[1]!Table1[[#All],[Rate]])</f>
        <v>181.5</v>
      </c>
      <c r="H107" s="5"/>
    </row>
    <row r="108" spans="1:8" x14ac:dyDescent="0.3">
      <c r="A108" s="3">
        <v>45658</v>
      </c>
      <c r="B108" s="1" t="s">
        <v>113</v>
      </c>
      <c r="C108" s="4">
        <v>40.399999999999899</v>
      </c>
      <c r="D108" s="4">
        <v>183</v>
      </c>
      <c r="E108" t="str">
        <f>VLOOKUP(Table2[[#This Row],[Code]],[1]!Table1[#All],2,FALSE)</f>
        <v>Notebook</v>
      </c>
      <c r="F108" t="str" cm="1">
        <f t="array" ref="F108">_xlfn.XLOOKUP(Table2[[#This Row],[Code]],[1]!Table1[[#All],[CODE]],[1]!Table1[[#All],[Category]])</f>
        <v>Stationery</v>
      </c>
      <c r="G108" cm="1">
        <f t="array" ref="G108">_xlfn.XLOOKUP(Table2[[#This Row],[Code]],[1]!Table1[[#All],[CODE]],[1]!Table1[[#All],[Rate]])</f>
        <v>183</v>
      </c>
      <c r="H108" s="5"/>
    </row>
    <row r="109" spans="1:8" x14ac:dyDescent="0.3">
      <c r="A109" s="3">
        <v>45659</v>
      </c>
      <c r="B109" s="1" t="s">
        <v>114</v>
      </c>
      <c r="C109" s="4">
        <v>40.699999999999903</v>
      </c>
      <c r="D109" s="4">
        <v>184.5</v>
      </c>
      <c r="E109" t="str">
        <f>VLOOKUP(Table2[[#This Row],[Code]],[1]!Table1[#All],2,FALSE)</f>
        <v>Marker</v>
      </c>
      <c r="F109" t="str" cm="1">
        <f t="array" ref="F109">_xlfn.XLOOKUP(Table2[[#This Row],[Code]],[1]!Table1[[#All],[CODE]],[1]!Table1[[#All],[Category]])</f>
        <v>Stationery</v>
      </c>
      <c r="G109" cm="1">
        <f t="array" ref="G109">_xlfn.XLOOKUP(Table2[[#This Row],[Code]],[1]!Table1[[#All],[CODE]],[1]!Table1[[#All],[Rate]])</f>
        <v>184.5</v>
      </c>
      <c r="H109" s="5"/>
    </row>
    <row r="110" spans="1:8" x14ac:dyDescent="0.3">
      <c r="A110" s="3">
        <v>45659</v>
      </c>
      <c r="B110" s="1" t="s">
        <v>115</v>
      </c>
      <c r="C110" s="4">
        <v>40.999999999999901</v>
      </c>
      <c r="D110" s="4">
        <v>186</v>
      </c>
      <c r="E110" t="str">
        <f>VLOOKUP(Table2[[#This Row],[Code]],[1]!Table1[#All],2,FALSE)</f>
        <v>Eraser</v>
      </c>
      <c r="F110" t="str" cm="1">
        <f t="array" ref="F110">_xlfn.XLOOKUP(Table2[[#This Row],[Code]],[1]!Table1[[#All],[CODE]],[1]!Table1[[#All],[Category]])</f>
        <v>Stationery</v>
      </c>
      <c r="G110" cm="1">
        <f t="array" ref="G110">_xlfn.XLOOKUP(Table2[[#This Row],[Code]],[1]!Table1[[#All],[CODE]],[1]!Table1[[#All],[Rate]])</f>
        <v>186</v>
      </c>
      <c r="H110" s="5"/>
    </row>
    <row r="111" spans="1:8" x14ac:dyDescent="0.3">
      <c r="A111" s="3">
        <v>45660</v>
      </c>
      <c r="B111" s="1" t="s">
        <v>116</v>
      </c>
      <c r="C111" s="4">
        <v>41.299999999999898</v>
      </c>
      <c r="D111" s="4">
        <v>187.5</v>
      </c>
      <c r="E111" t="str">
        <f>VLOOKUP(Table2[[#This Row],[Code]],[1]!Table1[#All],2,FALSE)</f>
        <v>File</v>
      </c>
      <c r="F111" t="str" cm="1">
        <f t="array" ref="F111">_xlfn.XLOOKUP(Table2[[#This Row],[Code]],[1]!Table1[[#All],[CODE]],[1]!Table1[[#All],[Category]])</f>
        <v>Office</v>
      </c>
      <c r="G111" cm="1">
        <f t="array" ref="G111">_xlfn.XLOOKUP(Table2[[#This Row],[Code]],[1]!Table1[[#All],[CODE]],[1]!Table1[[#All],[Rate]])</f>
        <v>187.5</v>
      </c>
      <c r="H111" s="5"/>
    </row>
    <row r="112" spans="1:8" x14ac:dyDescent="0.3">
      <c r="A112" s="3">
        <v>45658</v>
      </c>
      <c r="B112" s="1" t="s">
        <v>117</v>
      </c>
      <c r="C112" s="4">
        <v>41.599999999999902</v>
      </c>
      <c r="D112" s="4">
        <v>189</v>
      </c>
      <c r="E112" t="str">
        <f>VLOOKUP(Table2[[#This Row],[Code]],[1]!Table1[#All],2,FALSE)</f>
        <v>Pen</v>
      </c>
      <c r="F112" t="str" cm="1">
        <f t="array" ref="F112">_xlfn.XLOOKUP(Table2[[#This Row],[Code]],[1]!Table1[[#All],[CODE]],[1]!Table1[[#All],[Category]])</f>
        <v>Stationery</v>
      </c>
      <c r="G112" cm="1">
        <f t="array" ref="G112">_xlfn.XLOOKUP(Table2[[#This Row],[Code]],[1]!Table1[[#All],[CODE]],[1]!Table1[[#All],[Rate]])</f>
        <v>189</v>
      </c>
      <c r="H112" s="5"/>
    </row>
    <row r="113" spans="1:8" x14ac:dyDescent="0.3">
      <c r="A113" s="3">
        <v>45658</v>
      </c>
      <c r="B113" s="1" t="s">
        <v>118</v>
      </c>
      <c r="C113" s="4">
        <v>41.899999999999899</v>
      </c>
      <c r="D113" s="4">
        <v>190.5</v>
      </c>
      <c r="E113" t="str">
        <f>VLOOKUP(Table2[[#This Row],[Code]],[1]!Table1[#All],2,FALSE)</f>
        <v>Notebook</v>
      </c>
      <c r="F113" t="str" cm="1">
        <f t="array" ref="F113">_xlfn.XLOOKUP(Table2[[#This Row],[Code]],[1]!Table1[[#All],[CODE]],[1]!Table1[[#All],[Category]])</f>
        <v>Stationery</v>
      </c>
      <c r="G113" cm="1">
        <f t="array" ref="G113">_xlfn.XLOOKUP(Table2[[#This Row],[Code]],[1]!Table1[[#All],[CODE]],[1]!Table1[[#All],[Rate]])</f>
        <v>190.5</v>
      </c>
      <c r="H113" s="5"/>
    </row>
    <row r="114" spans="1:8" x14ac:dyDescent="0.3">
      <c r="A114" s="3">
        <v>45659</v>
      </c>
      <c r="B114" s="1" t="s">
        <v>119</v>
      </c>
      <c r="C114" s="4">
        <v>42.199999999999903</v>
      </c>
      <c r="D114" s="4">
        <v>192</v>
      </c>
      <c r="E114" t="str">
        <f>VLOOKUP(Table2[[#This Row],[Code]],[1]!Table1[#All],2,FALSE)</f>
        <v>Marker</v>
      </c>
      <c r="F114" t="str" cm="1">
        <f t="array" ref="F114">_xlfn.XLOOKUP(Table2[[#This Row],[Code]],[1]!Table1[[#All],[CODE]],[1]!Table1[[#All],[Category]])</f>
        <v>Stationery</v>
      </c>
      <c r="G114" cm="1">
        <f t="array" ref="G114">_xlfn.XLOOKUP(Table2[[#This Row],[Code]],[1]!Table1[[#All],[CODE]],[1]!Table1[[#All],[Rate]])</f>
        <v>192</v>
      </c>
      <c r="H114" s="5"/>
    </row>
    <row r="115" spans="1:8" x14ac:dyDescent="0.3">
      <c r="A115" s="3">
        <v>45659</v>
      </c>
      <c r="B115" s="1" t="s">
        <v>120</v>
      </c>
      <c r="C115" s="4">
        <v>42.499999999999901</v>
      </c>
      <c r="D115" s="4">
        <v>193.5</v>
      </c>
      <c r="E115" t="str">
        <f>VLOOKUP(Table2[[#This Row],[Code]],[1]!Table1[#All],2,FALSE)</f>
        <v>Eraser</v>
      </c>
      <c r="F115" t="str" cm="1">
        <f t="array" ref="F115">_xlfn.XLOOKUP(Table2[[#This Row],[Code]],[1]!Table1[[#All],[CODE]],[1]!Table1[[#All],[Category]])</f>
        <v>Stationery</v>
      </c>
      <c r="G115" cm="1">
        <f t="array" ref="G115">_xlfn.XLOOKUP(Table2[[#This Row],[Code]],[1]!Table1[[#All],[CODE]],[1]!Table1[[#All],[Rate]])</f>
        <v>193.5</v>
      </c>
      <c r="H115" s="5"/>
    </row>
    <row r="116" spans="1:8" x14ac:dyDescent="0.3">
      <c r="A116" s="3">
        <v>45660</v>
      </c>
      <c r="B116" s="1" t="s">
        <v>121</v>
      </c>
      <c r="C116" s="4">
        <v>42.799999999999898</v>
      </c>
      <c r="D116" s="4">
        <v>195</v>
      </c>
      <c r="E116" t="str">
        <f>VLOOKUP(Table2[[#This Row],[Code]],[1]!Table1[#All],2,FALSE)</f>
        <v>File</v>
      </c>
      <c r="F116" t="str" cm="1">
        <f t="array" ref="F116">_xlfn.XLOOKUP(Table2[[#This Row],[Code]],[1]!Table1[[#All],[CODE]],[1]!Table1[[#All],[Category]])</f>
        <v>Office</v>
      </c>
      <c r="G116" cm="1">
        <f t="array" ref="G116">_xlfn.XLOOKUP(Table2[[#This Row],[Code]],[1]!Table1[[#All],[CODE]],[1]!Table1[[#All],[Rate]])</f>
        <v>195</v>
      </c>
      <c r="H116" s="5"/>
    </row>
    <row r="117" spans="1:8" x14ac:dyDescent="0.3">
      <c r="A117" s="3">
        <v>45658</v>
      </c>
      <c r="B117" s="1" t="s">
        <v>122</v>
      </c>
      <c r="C117" s="4">
        <v>43.099999999999902</v>
      </c>
      <c r="D117" s="4">
        <v>196.5</v>
      </c>
      <c r="E117" t="str">
        <f>VLOOKUP(Table2[[#This Row],[Code]],[1]!Table1[#All],2,FALSE)</f>
        <v>Pen</v>
      </c>
      <c r="F117" t="str" cm="1">
        <f t="array" ref="F117">_xlfn.XLOOKUP(Table2[[#This Row],[Code]],[1]!Table1[[#All],[CODE]],[1]!Table1[[#All],[Category]])</f>
        <v>Stationery</v>
      </c>
      <c r="G117" cm="1">
        <f t="array" ref="G117">_xlfn.XLOOKUP(Table2[[#This Row],[Code]],[1]!Table1[[#All],[CODE]],[1]!Table1[[#All],[Rate]])</f>
        <v>196.5</v>
      </c>
      <c r="H117" s="5"/>
    </row>
    <row r="118" spans="1:8" x14ac:dyDescent="0.3">
      <c r="A118" s="3">
        <v>45658</v>
      </c>
      <c r="B118" s="1" t="s">
        <v>123</v>
      </c>
      <c r="C118" s="4">
        <v>43.399999999999899</v>
      </c>
      <c r="D118" s="4">
        <v>198</v>
      </c>
      <c r="E118" t="str">
        <f>VLOOKUP(Table2[[#This Row],[Code]],[1]!Table1[#All],2,FALSE)</f>
        <v>Notebook</v>
      </c>
      <c r="F118" t="str" cm="1">
        <f t="array" ref="F118">_xlfn.XLOOKUP(Table2[[#This Row],[Code]],[1]!Table1[[#All],[CODE]],[1]!Table1[[#All],[Category]])</f>
        <v>Stationery</v>
      </c>
      <c r="G118" cm="1">
        <f t="array" ref="G118">_xlfn.XLOOKUP(Table2[[#This Row],[Code]],[1]!Table1[[#All],[CODE]],[1]!Table1[[#All],[Rate]])</f>
        <v>198</v>
      </c>
      <c r="H118" s="5"/>
    </row>
    <row r="119" spans="1:8" x14ac:dyDescent="0.3">
      <c r="A119" s="3">
        <v>45659</v>
      </c>
      <c r="B119" s="1" t="s">
        <v>124</v>
      </c>
      <c r="C119" s="4">
        <v>43.699999999999903</v>
      </c>
      <c r="D119" s="4">
        <v>199.5</v>
      </c>
      <c r="E119" t="str">
        <f>VLOOKUP(Table2[[#This Row],[Code]],[1]!Table1[#All],2,FALSE)</f>
        <v>Marker</v>
      </c>
      <c r="F119" t="str" cm="1">
        <f t="array" ref="F119">_xlfn.XLOOKUP(Table2[[#This Row],[Code]],[1]!Table1[[#All],[CODE]],[1]!Table1[[#All],[Category]])</f>
        <v>Stationery</v>
      </c>
      <c r="G119" cm="1">
        <f t="array" ref="G119">_xlfn.XLOOKUP(Table2[[#This Row],[Code]],[1]!Table1[[#All],[CODE]],[1]!Table1[[#All],[Rate]])</f>
        <v>199.5</v>
      </c>
      <c r="H119" s="5"/>
    </row>
    <row r="120" spans="1:8" x14ac:dyDescent="0.3">
      <c r="A120" s="3">
        <v>45659</v>
      </c>
      <c r="B120" s="1" t="s">
        <v>125</v>
      </c>
      <c r="C120" s="4">
        <v>43.999999999999901</v>
      </c>
      <c r="D120" s="4">
        <v>201</v>
      </c>
      <c r="E120" t="str">
        <f>VLOOKUP(Table2[[#This Row],[Code]],[1]!Table1[#All],2,FALSE)</f>
        <v>Eraser</v>
      </c>
      <c r="F120" t="str" cm="1">
        <f t="array" ref="F120">_xlfn.XLOOKUP(Table2[[#This Row],[Code]],[1]!Table1[[#All],[CODE]],[1]!Table1[[#All],[Category]])</f>
        <v>Stationery</v>
      </c>
      <c r="G120" cm="1">
        <f t="array" ref="G120">_xlfn.XLOOKUP(Table2[[#This Row],[Code]],[1]!Table1[[#All],[CODE]],[1]!Table1[[#All],[Rate]])</f>
        <v>201</v>
      </c>
      <c r="H120" s="5"/>
    </row>
    <row r="121" spans="1:8" x14ac:dyDescent="0.3">
      <c r="A121" s="3">
        <v>45660</v>
      </c>
      <c r="B121" s="1" t="s">
        <v>126</v>
      </c>
      <c r="C121" s="4">
        <v>44.299999999999898</v>
      </c>
      <c r="D121" s="4">
        <v>202.5</v>
      </c>
      <c r="E121" t="str">
        <f>VLOOKUP(Table2[[#This Row],[Code]],[1]!Table1[#All],2,FALSE)</f>
        <v>File</v>
      </c>
      <c r="F121" t="str" cm="1">
        <f t="array" ref="F121">_xlfn.XLOOKUP(Table2[[#This Row],[Code]],[1]!Table1[[#All],[CODE]],[1]!Table1[[#All],[Category]])</f>
        <v>Office</v>
      </c>
      <c r="G121" cm="1">
        <f t="array" ref="G121">_xlfn.XLOOKUP(Table2[[#This Row],[Code]],[1]!Table1[[#All],[CODE]],[1]!Table1[[#All],[Rate]])</f>
        <v>202.5</v>
      </c>
      <c r="H121" s="5"/>
    </row>
    <row r="122" spans="1:8" x14ac:dyDescent="0.3">
      <c r="A122" s="3">
        <v>45658</v>
      </c>
      <c r="B122" s="1" t="s">
        <v>127</v>
      </c>
      <c r="C122" s="4">
        <v>44.599999999999902</v>
      </c>
      <c r="D122" s="4">
        <v>204</v>
      </c>
      <c r="E122" t="str">
        <f>VLOOKUP(Table2[[#This Row],[Code]],[1]!Table1[#All],2,FALSE)</f>
        <v>Pen</v>
      </c>
      <c r="F122" t="str" cm="1">
        <f t="array" ref="F122">_xlfn.XLOOKUP(Table2[[#This Row],[Code]],[1]!Table1[[#All],[CODE]],[1]!Table1[[#All],[Category]])</f>
        <v>Stationery</v>
      </c>
      <c r="G122" cm="1">
        <f t="array" ref="G122">_xlfn.XLOOKUP(Table2[[#This Row],[Code]],[1]!Table1[[#All],[CODE]],[1]!Table1[[#All],[Rate]])</f>
        <v>204</v>
      </c>
      <c r="H122" s="5"/>
    </row>
    <row r="123" spans="1:8" x14ac:dyDescent="0.3">
      <c r="A123" s="3">
        <v>45658</v>
      </c>
      <c r="B123" s="1" t="s">
        <v>128</v>
      </c>
      <c r="C123" s="4">
        <v>44.899999999999899</v>
      </c>
      <c r="D123" s="4">
        <v>205.5</v>
      </c>
      <c r="E123" t="str">
        <f>VLOOKUP(Table2[[#This Row],[Code]],[1]!Table1[#All],2,FALSE)</f>
        <v>Notebook</v>
      </c>
      <c r="F123" t="str" cm="1">
        <f t="array" ref="F123">_xlfn.XLOOKUP(Table2[[#This Row],[Code]],[1]!Table1[[#All],[CODE]],[1]!Table1[[#All],[Category]])</f>
        <v>Stationery</v>
      </c>
      <c r="G123" cm="1">
        <f t="array" ref="G123">_xlfn.XLOOKUP(Table2[[#This Row],[Code]],[1]!Table1[[#All],[CODE]],[1]!Table1[[#All],[Rate]])</f>
        <v>205.5</v>
      </c>
      <c r="H123" s="5"/>
    </row>
    <row r="124" spans="1:8" x14ac:dyDescent="0.3">
      <c r="A124" s="3">
        <v>45659</v>
      </c>
      <c r="B124" s="1" t="s">
        <v>129</v>
      </c>
      <c r="C124" s="4">
        <v>45.199999999999903</v>
      </c>
      <c r="D124" s="4">
        <v>207</v>
      </c>
      <c r="E124" t="str">
        <f>VLOOKUP(Table2[[#This Row],[Code]],[1]!Table1[#All],2,FALSE)</f>
        <v>Marker</v>
      </c>
      <c r="F124" t="str" cm="1">
        <f t="array" ref="F124">_xlfn.XLOOKUP(Table2[[#This Row],[Code]],[1]!Table1[[#All],[CODE]],[1]!Table1[[#All],[Category]])</f>
        <v>Stationery</v>
      </c>
      <c r="G124" cm="1">
        <f t="array" ref="G124">_xlfn.XLOOKUP(Table2[[#This Row],[Code]],[1]!Table1[[#All],[CODE]],[1]!Table1[[#All],[Rate]])</f>
        <v>207</v>
      </c>
      <c r="H124" s="5"/>
    </row>
    <row r="125" spans="1:8" x14ac:dyDescent="0.3">
      <c r="A125" s="3">
        <v>45659</v>
      </c>
      <c r="B125" s="1" t="s">
        <v>130</v>
      </c>
      <c r="C125" s="4">
        <v>45.499999999999901</v>
      </c>
      <c r="D125" s="4">
        <v>208.5</v>
      </c>
      <c r="E125" t="str">
        <f>VLOOKUP(Table2[[#This Row],[Code]],[1]!Table1[#All],2,FALSE)</f>
        <v>Eraser</v>
      </c>
      <c r="F125" t="str" cm="1">
        <f t="array" ref="F125">_xlfn.XLOOKUP(Table2[[#This Row],[Code]],[1]!Table1[[#All],[CODE]],[1]!Table1[[#All],[Category]])</f>
        <v>Stationery</v>
      </c>
      <c r="G125" cm="1">
        <f t="array" ref="G125">_xlfn.XLOOKUP(Table2[[#This Row],[Code]],[1]!Table1[[#All],[CODE]],[1]!Table1[[#All],[Rate]])</f>
        <v>208.5</v>
      </c>
      <c r="H125" s="5"/>
    </row>
    <row r="126" spans="1:8" x14ac:dyDescent="0.3">
      <c r="A126" s="3">
        <v>45660</v>
      </c>
      <c r="B126" s="1" t="s">
        <v>131</v>
      </c>
      <c r="C126" s="4">
        <v>45.799999999999898</v>
      </c>
      <c r="D126" s="4">
        <v>210</v>
      </c>
      <c r="E126" t="str">
        <f>VLOOKUP(Table2[[#This Row],[Code]],[1]!Table1[#All],2,FALSE)</f>
        <v>File</v>
      </c>
      <c r="F126" t="str" cm="1">
        <f t="array" ref="F126">_xlfn.XLOOKUP(Table2[[#This Row],[Code]],[1]!Table1[[#All],[CODE]],[1]!Table1[[#All],[Category]])</f>
        <v>Office</v>
      </c>
      <c r="G126" cm="1">
        <f t="array" ref="G126">_xlfn.XLOOKUP(Table2[[#This Row],[Code]],[1]!Table1[[#All],[CODE]],[1]!Table1[[#All],[Rate]])</f>
        <v>210</v>
      </c>
      <c r="H126" s="5"/>
    </row>
    <row r="127" spans="1:8" x14ac:dyDescent="0.3">
      <c r="A127" s="3">
        <v>45658</v>
      </c>
      <c r="B127" s="1" t="s">
        <v>132</v>
      </c>
      <c r="C127" s="4">
        <v>46.099999999999902</v>
      </c>
      <c r="D127" s="4">
        <v>211.5</v>
      </c>
      <c r="E127" t="str">
        <f>VLOOKUP(Table2[[#This Row],[Code]],[1]!Table1[#All],2,FALSE)</f>
        <v>Pen</v>
      </c>
      <c r="F127" t="str" cm="1">
        <f t="array" ref="F127">_xlfn.XLOOKUP(Table2[[#This Row],[Code]],[1]!Table1[[#All],[CODE]],[1]!Table1[[#All],[Category]])</f>
        <v>Stationery</v>
      </c>
      <c r="G127" cm="1">
        <f t="array" ref="G127">_xlfn.XLOOKUP(Table2[[#This Row],[Code]],[1]!Table1[[#All],[CODE]],[1]!Table1[[#All],[Rate]])</f>
        <v>211.5</v>
      </c>
      <c r="H127" s="5"/>
    </row>
    <row r="128" spans="1:8" x14ac:dyDescent="0.3">
      <c r="A128" s="3">
        <v>45658</v>
      </c>
      <c r="B128" s="1" t="s">
        <v>133</v>
      </c>
      <c r="C128" s="4">
        <v>46.399999999999899</v>
      </c>
      <c r="D128" s="4">
        <v>213</v>
      </c>
      <c r="E128" t="str">
        <f>VLOOKUP(Table2[[#This Row],[Code]],[1]!Table1[#All],2,FALSE)</f>
        <v>Notebook</v>
      </c>
      <c r="F128" t="str" cm="1">
        <f t="array" ref="F128">_xlfn.XLOOKUP(Table2[[#This Row],[Code]],[1]!Table1[[#All],[CODE]],[1]!Table1[[#All],[Category]])</f>
        <v>Stationery</v>
      </c>
      <c r="G128" cm="1">
        <f t="array" ref="G128">_xlfn.XLOOKUP(Table2[[#This Row],[Code]],[1]!Table1[[#All],[CODE]],[1]!Table1[[#All],[Rate]])</f>
        <v>213</v>
      </c>
      <c r="H128" s="5"/>
    </row>
    <row r="129" spans="1:8" x14ac:dyDescent="0.3">
      <c r="A129" s="3">
        <v>45659</v>
      </c>
      <c r="B129" s="1" t="s">
        <v>134</v>
      </c>
      <c r="C129" s="4">
        <v>46.699999999999903</v>
      </c>
      <c r="D129" s="4">
        <v>214.5</v>
      </c>
      <c r="E129" t="str">
        <f>VLOOKUP(Table2[[#This Row],[Code]],[1]!Table1[#All],2,FALSE)</f>
        <v>Marker</v>
      </c>
      <c r="F129" t="str" cm="1">
        <f t="array" ref="F129">_xlfn.XLOOKUP(Table2[[#This Row],[Code]],[1]!Table1[[#All],[CODE]],[1]!Table1[[#All],[Category]])</f>
        <v>Stationery</v>
      </c>
      <c r="G129" cm="1">
        <f t="array" ref="G129">_xlfn.XLOOKUP(Table2[[#This Row],[Code]],[1]!Table1[[#All],[CODE]],[1]!Table1[[#All],[Rate]])</f>
        <v>214.5</v>
      </c>
      <c r="H129" s="5"/>
    </row>
    <row r="130" spans="1:8" x14ac:dyDescent="0.3">
      <c r="A130" s="3">
        <v>45659</v>
      </c>
      <c r="B130" s="1" t="s">
        <v>135</v>
      </c>
      <c r="C130" s="4">
        <v>46.999999999999901</v>
      </c>
      <c r="D130" s="4">
        <v>216</v>
      </c>
      <c r="E130" t="str">
        <f>VLOOKUP(Table2[[#This Row],[Code]],[1]!Table1[#All],2,FALSE)</f>
        <v>Eraser</v>
      </c>
      <c r="F130" t="str" cm="1">
        <f t="array" ref="F130">_xlfn.XLOOKUP(Table2[[#This Row],[Code]],[1]!Table1[[#All],[CODE]],[1]!Table1[[#All],[Category]])</f>
        <v>Stationery</v>
      </c>
      <c r="G130" cm="1">
        <f t="array" ref="G130">_xlfn.XLOOKUP(Table2[[#This Row],[Code]],[1]!Table1[[#All],[CODE]],[1]!Table1[[#All],[Rate]])</f>
        <v>216</v>
      </c>
      <c r="H130" s="5"/>
    </row>
    <row r="131" spans="1:8" x14ac:dyDescent="0.3">
      <c r="A131" s="3">
        <v>45660</v>
      </c>
      <c r="B131" s="1" t="s">
        <v>136</v>
      </c>
      <c r="C131" s="4">
        <v>47.299999999999898</v>
      </c>
      <c r="D131" s="4">
        <v>217.5</v>
      </c>
      <c r="E131" t="str">
        <f>VLOOKUP(Table2[[#This Row],[Code]],[1]!Table1[#All],2,FALSE)</f>
        <v>File</v>
      </c>
      <c r="F131" t="str" cm="1">
        <f t="array" ref="F131">_xlfn.XLOOKUP(Table2[[#This Row],[Code]],[1]!Table1[[#All],[CODE]],[1]!Table1[[#All],[Category]])</f>
        <v>Office</v>
      </c>
      <c r="G131" cm="1">
        <f t="array" ref="G131">_xlfn.XLOOKUP(Table2[[#This Row],[Code]],[1]!Table1[[#All],[CODE]],[1]!Table1[[#All],[Rate]])</f>
        <v>217.5</v>
      </c>
      <c r="H131" s="5"/>
    </row>
    <row r="132" spans="1:8" x14ac:dyDescent="0.3">
      <c r="A132" s="3">
        <v>45658</v>
      </c>
      <c r="B132" s="1" t="s">
        <v>137</v>
      </c>
      <c r="C132" s="4">
        <v>47.599999999999902</v>
      </c>
      <c r="D132" s="4">
        <v>219</v>
      </c>
      <c r="E132" t="str">
        <f>VLOOKUP(Table2[[#This Row],[Code]],[1]!Table1[#All],2,FALSE)</f>
        <v>Pen</v>
      </c>
      <c r="F132" t="str" cm="1">
        <f t="array" ref="F132">_xlfn.XLOOKUP(Table2[[#This Row],[Code]],[1]!Table1[[#All],[CODE]],[1]!Table1[[#All],[Category]])</f>
        <v>Stationery</v>
      </c>
      <c r="G132" cm="1">
        <f t="array" ref="G132">_xlfn.XLOOKUP(Table2[[#This Row],[Code]],[1]!Table1[[#All],[CODE]],[1]!Table1[[#All],[Rate]])</f>
        <v>219</v>
      </c>
      <c r="H132" s="5"/>
    </row>
    <row r="133" spans="1:8" x14ac:dyDescent="0.3">
      <c r="A133" s="3">
        <v>45658</v>
      </c>
      <c r="B133" s="1" t="s">
        <v>138</v>
      </c>
      <c r="C133" s="4">
        <v>47.899999999999899</v>
      </c>
      <c r="D133" s="4">
        <v>220.5</v>
      </c>
      <c r="E133" t="str">
        <f>VLOOKUP(Table2[[#This Row],[Code]],[1]!Table1[#All],2,FALSE)</f>
        <v>Notebook</v>
      </c>
      <c r="F133" t="str" cm="1">
        <f t="array" ref="F133">_xlfn.XLOOKUP(Table2[[#This Row],[Code]],[1]!Table1[[#All],[CODE]],[1]!Table1[[#All],[Category]])</f>
        <v>Stationery</v>
      </c>
      <c r="G133" cm="1">
        <f t="array" ref="G133">_xlfn.XLOOKUP(Table2[[#This Row],[Code]],[1]!Table1[[#All],[CODE]],[1]!Table1[[#All],[Rate]])</f>
        <v>220.5</v>
      </c>
      <c r="H133" s="5"/>
    </row>
    <row r="134" spans="1:8" x14ac:dyDescent="0.3">
      <c r="A134" s="3">
        <v>45659</v>
      </c>
      <c r="B134" s="1" t="s">
        <v>139</v>
      </c>
      <c r="C134" s="4">
        <v>48.199999999999903</v>
      </c>
      <c r="D134" s="4">
        <v>222</v>
      </c>
      <c r="E134" t="str">
        <f>VLOOKUP(Table2[[#This Row],[Code]],[1]!Table1[#All],2,FALSE)</f>
        <v>Marker</v>
      </c>
      <c r="F134" t="str" cm="1">
        <f t="array" ref="F134">_xlfn.XLOOKUP(Table2[[#This Row],[Code]],[1]!Table1[[#All],[CODE]],[1]!Table1[[#All],[Category]])</f>
        <v>Stationery</v>
      </c>
      <c r="G134" cm="1">
        <f t="array" ref="G134">_xlfn.XLOOKUP(Table2[[#This Row],[Code]],[1]!Table1[[#All],[CODE]],[1]!Table1[[#All],[Rate]])</f>
        <v>222</v>
      </c>
      <c r="H134" s="5"/>
    </row>
    <row r="135" spans="1:8" x14ac:dyDescent="0.3">
      <c r="A135" s="3">
        <v>45659</v>
      </c>
      <c r="B135" s="1" t="s">
        <v>140</v>
      </c>
      <c r="C135" s="4">
        <v>48.499999999999901</v>
      </c>
      <c r="D135" s="4">
        <v>223.5</v>
      </c>
      <c r="E135" t="str">
        <f>VLOOKUP(Table2[[#This Row],[Code]],[1]!Table1[#All],2,FALSE)</f>
        <v>Eraser</v>
      </c>
      <c r="F135" t="str" cm="1">
        <f t="array" ref="F135">_xlfn.XLOOKUP(Table2[[#This Row],[Code]],[1]!Table1[[#All],[CODE]],[1]!Table1[[#All],[Category]])</f>
        <v>Stationery</v>
      </c>
      <c r="G135" cm="1">
        <f t="array" ref="G135">_xlfn.XLOOKUP(Table2[[#This Row],[Code]],[1]!Table1[[#All],[CODE]],[1]!Table1[[#All],[Rate]])</f>
        <v>223.5</v>
      </c>
      <c r="H135" s="5"/>
    </row>
    <row r="136" spans="1:8" x14ac:dyDescent="0.3">
      <c r="A136" s="3">
        <v>45660</v>
      </c>
      <c r="B136" s="1" t="s">
        <v>141</v>
      </c>
      <c r="C136" s="4">
        <v>48.799999999999898</v>
      </c>
      <c r="D136" s="4">
        <v>225</v>
      </c>
      <c r="E136" t="str">
        <f>VLOOKUP(Table2[[#This Row],[Code]],[1]!Table1[#All],2,FALSE)</f>
        <v>File</v>
      </c>
      <c r="F136" t="str" cm="1">
        <f t="array" ref="F136">_xlfn.XLOOKUP(Table2[[#This Row],[Code]],[1]!Table1[[#All],[CODE]],[1]!Table1[[#All],[Category]])</f>
        <v>Office</v>
      </c>
      <c r="G136" cm="1">
        <f t="array" ref="G136">_xlfn.XLOOKUP(Table2[[#This Row],[Code]],[1]!Table1[[#All],[CODE]],[1]!Table1[[#All],[Rate]])</f>
        <v>225</v>
      </c>
      <c r="H136" s="5"/>
    </row>
    <row r="137" spans="1:8" x14ac:dyDescent="0.3">
      <c r="A137" s="3">
        <v>45658</v>
      </c>
      <c r="B137" s="1" t="s">
        <v>142</v>
      </c>
      <c r="C137" s="4">
        <v>49.099999999999902</v>
      </c>
      <c r="D137" s="4">
        <v>226.5</v>
      </c>
      <c r="E137" t="str">
        <f>VLOOKUP(Table2[[#This Row],[Code]],[1]!Table1[#All],2,FALSE)</f>
        <v>Pen</v>
      </c>
      <c r="F137" t="str" cm="1">
        <f t="array" ref="F137">_xlfn.XLOOKUP(Table2[[#This Row],[Code]],[1]!Table1[[#All],[CODE]],[1]!Table1[[#All],[Category]])</f>
        <v>Stationery</v>
      </c>
      <c r="G137" cm="1">
        <f t="array" ref="G137">_xlfn.XLOOKUP(Table2[[#This Row],[Code]],[1]!Table1[[#All],[CODE]],[1]!Table1[[#All],[Rate]])</f>
        <v>226.5</v>
      </c>
      <c r="H137" s="5"/>
    </row>
    <row r="138" spans="1:8" x14ac:dyDescent="0.3">
      <c r="A138" s="3">
        <v>45658</v>
      </c>
      <c r="B138" s="1" t="s">
        <v>143</v>
      </c>
      <c r="C138" s="4">
        <v>49.399999999999899</v>
      </c>
      <c r="D138" s="4">
        <v>228</v>
      </c>
      <c r="E138" t="str">
        <f>VLOOKUP(Table2[[#This Row],[Code]],[1]!Table1[#All],2,FALSE)</f>
        <v>Notebook</v>
      </c>
      <c r="F138" t="str" cm="1">
        <f t="array" ref="F138">_xlfn.XLOOKUP(Table2[[#This Row],[Code]],[1]!Table1[[#All],[CODE]],[1]!Table1[[#All],[Category]])</f>
        <v>Stationery</v>
      </c>
      <c r="G138" cm="1">
        <f t="array" ref="G138">_xlfn.XLOOKUP(Table2[[#This Row],[Code]],[1]!Table1[[#All],[CODE]],[1]!Table1[[#All],[Rate]])</f>
        <v>228</v>
      </c>
      <c r="H138" s="5"/>
    </row>
    <row r="139" spans="1:8" x14ac:dyDescent="0.3">
      <c r="A139" s="3">
        <v>45659</v>
      </c>
      <c r="B139" s="1" t="s">
        <v>144</v>
      </c>
      <c r="C139" s="4">
        <v>49.699999999999903</v>
      </c>
      <c r="D139" s="4">
        <v>229.5</v>
      </c>
      <c r="E139" t="str">
        <f>VLOOKUP(Table2[[#This Row],[Code]],[1]!Table1[#All],2,FALSE)</f>
        <v>Marker</v>
      </c>
      <c r="F139" t="str" cm="1">
        <f t="array" ref="F139">_xlfn.XLOOKUP(Table2[[#This Row],[Code]],[1]!Table1[[#All],[CODE]],[1]!Table1[[#All],[Category]])</f>
        <v>Stationery</v>
      </c>
      <c r="G139" cm="1">
        <f t="array" ref="G139">_xlfn.XLOOKUP(Table2[[#This Row],[Code]],[1]!Table1[[#All],[CODE]],[1]!Table1[[#All],[Rate]])</f>
        <v>229.5</v>
      </c>
      <c r="H139" s="5"/>
    </row>
    <row r="140" spans="1:8" x14ac:dyDescent="0.3">
      <c r="A140" s="3">
        <v>45659</v>
      </c>
      <c r="B140" s="1" t="s">
        <v>145</v>
      </c>
      <c r="C140" s="4">
        <v>49.999999999999901</v>
      </c>
      <c r="D140" s="4">
        <v>231</v>
      </c>
      <c r="E140" t="str">
        <f>VLOOKUP(Table2[[#This Row],[Code]],[1]!Table1[#All],2,FALSE)</f>
        <v>Eraser</v>
      </c>
      <c r="F140" t="str" cm="1">
        <f t="array" ref="F140">_xlfn.XLOOKUP(Table2[[#This Row],[Code]],[1]!Table1[[#All],[CODE]],[1]!Table1[[#All],[Category]])</f>
        <v>Stationery</v>
      </c>
      <c r="G140" cm="1">
        <f t="array" ref="G140">_xlfn.XLOOKUP(Table2[[#This Row],[Code]],[1]!Table1[[#All],[CODE]],[1]!Table1[[#All],[Rate]])</f>
        <v>231</v>
      </c>
      <c r="H140" s="5"/>
    </row>
    <row r="141" spans="1:8" x14ac:dyDescent="0.3">
      <c r="A141" s="3">
        <v>45660</v>
      </c>
      <c r="B141" s="1" t="s">
        <v>146</v>
      </c>
      <c r="C141" s="4">
        <v>50.299999999999898</v>
      </c>
      <c r="D141" s="4">
        <v>232.5</v>
      </c>
      <c r="E141" t="str">
        <f>VLOOKUP(Table2[[#This Row],[Code]],[1]!Table1[#All],2,FALSE)</f>
        <v>File</v>
      </c>
      <c r="F141" t="str" cm="1">
        <f t="array" ref="F141">_xlfn.XLOOKUP(Table2[[#This Row],[Code]],[1]!Table1[[#All],[CODE]],[1]!Table1[[#All],[Category]])</f>
        <v>Office</v>
      </c>
      <c r="G141" cm="1">
        <f t="array" ref="G141">_xlfn.XLOOKUP(Table2[[#This Row],[Code]],[1]!Table1[[#All],[CODE]],[1]!Table1[[#All],[Rate]])</f>
        <v>232.5</v>
      </c>
      <c r="H141" s="5"/>
    </row>
    <row r="142" spans="1:8" x14ac:dyDescent="0.3">
      <c r="A142" s="3">
        <v>45658</v>
      </c>
      <c r="B142" s="1" t="s">
        <v>147</v>
      </c>
      <c r="C142" s="4">
        <v>50.599999999999902</v>
      </c>
      <c r="D142" s="4">
        <v>234</v>
      </c>
      <c r="E142" t="str">
        <f>VLOOKUP(Table2[[#This Row],[Code]],[1]!Table1[#All],2,FALSE)</f>
        <v>Pen</v>
      </c>
      <c r="F142" t="str" cm="1">
        <f t="array" ref="F142">_xlfn.XLOOKUP(Table2[[#This Row],[Code]],[1]!Table1[[#All],[CODE]],[1]!Table1[[#All],[Category]])</f>
        <v>Stationery</v>
      </c>
      <c r="G142" cm="1">
        <f t="array" ref="G142">_xlfn.XLOOKUP(Table2[[#This Row],[Code]],[1]!Table1[[#All],[CODE]],[1]!Table1[[#All],[Rate]])</f>
        <v>234</v>
      </c>
      <c r="H142" s="5"/>
    </row>
    <row r="143" spans="1:8" x14ac:dyDescent="0.3">
      <c r="A143" s="3">
        <v>45658</v>
      </c>
      <c r="B143" s="1" t="s">
        <v>148</v>
      </c>
      <c r="C143" s="4">
        <v>50.899999999999899</v>
      </c>
      <c r="D143" s="4">
        <v>235.5</v>
      </c>
      <c r="E143" t="str">
        <f>VLOOKUP(Table2[[#This Row],[Code]],[1]!Table1[#All],2,FALSE)</f>
        <v>Notebook</v>
      </c>
      <c r="F143" t="str" cm="1">
        <f t="array" ref="F143">_xlfn.XLOOKUP(Table2[[#This Row],[Code]],[1]!Table1[[#All],[CODE]],[1]!Table1[[#All],[Category]])</f>
        <v>Stationery</v>
      </c>
      <c r="G143" cm="1">
        <f t="array" ref="G143">_xlfn.XLOOKUP(Table2[[#This Row],[Code]],[1]!Table1[[#All],[CODE]],[1]!Table1[[#All],[Rate]])</f>
        <v>235.5</v>
      </c>
      <c r="H143" s="5"/>
    </row>
    <row r="144" spans="1:8" x14ac:dyDescent="0.3">
      <c r="A144" s="3">
        <v>45659</v>
      </c>
      <c r="B144" s="1" t="s">
        <v>149</v>
      </c>
      <c r="C144" s="4">
        <v>51.199999999999903</v>
      </c>
      <c r="D144" s="4">
        <v>237</v>
      </c>
      <c r="E144" t="str">
        <f>VLOOKUP(Table2[[#This Row],[Code]],[1]!Table1[#All],2,FALSE)</f>
        <v>Marker</v>
      </c>
      <c r="F144" t="str" cm="1">
        <f t="array" ref="F144">_xlfn.XLOOKUP(Table2[[#This Row],[Code]],[1]!Table1[[#All],[CODE]],[1]!Table1[[#All],[Category]])</f>
        <v>Stationery</v>
      </c>
      <c r="G144" cm="1">
        <f t="array" ref="G144">_xlfn.XLOOKUP(Table2[[#This Row],[Code]],[1]!Table1[[#All],[CODE]],[1]!Table1[[#All],[Rate]])</f>
        <v>237</v>
      </c>
      <c r="H144" s="5"/>
    </row>
    <row r="145" spans="1:8" x14ac:dyDescent="0.3">
      <c r="A145" s="3">
        <v>45659</v>
      </c>
      <c r="B145" s="1" t="s">
        <v>150</v>
      </c>
      <c r="C145" s="4">
        <v>51.499999999999901</v>
      </c>
      <c r="D145" s="4">
        <v>238.5</v>
      </c>
      <c r="E145" t="str">
        <f>VLOOKUP(Table2[[#This Row],[Code]],[1]!Table1[#All],2,FALSE)</f>
        <v>Eraser</v>
      </c>
      <c r="F145" t="str" cm="1">
        <f t="array" ref="F145">_xlfn.XLOOKUP(Table2[[#This Row],[Code]],[1]!Table1[[#All],[CODE]],[1]!Table1[[#All],[Category]])</f>
        <v>Stationery</v>
      </c>
      <c r="G145" cm="1">
        <f t="array" ref="G145">_xlfn.XLOOKUP(Table2[[#This Row],[Code]],[1]!Table1[[#All],[CODE]],[1]!Table1[[#All],[Rate]])</f>
        <v>238.5</v>
      </c>
      <c r="H145" s="5"/>
    </row>
    <row r="146" spans="1:8" x14ac:dyDescent="0.3">
      <c r="A146" s="3">
        <v>45660</v>
      </c>
      <c r="B146" s="1" t="s">
        <v>151</v>
      </c>
      <c r="C146" s="4">
        <v>51.799999999999898</v>
      </c>
      <c r="D146" s="4">
        <v>240</v>
      </c>
      <c r="E146" t="str">
        <f>VLOOKUP(Table2[[#This Row],[Code]],[1]!Table1[#All],2,FALSE)</f>
        <v>File</v>
      </c>
      <c r="F146" t="str" cm="1">
        <f t="array" ref="F146">_xlfn.XLOOKUP(Table2[[#This Row],[Code]],[1]!Table1[[#All],[CODE]],[1]!Table1[[#All],[Category]])</f>
        <v>Office</v>
      </c>
      <c r="G146" cm="1">
        <f t="array" ref="G146">_xlfn.XLOOKUP(Table2[[#This Row],[Code]],[1]!Table1[[#All],[CODE]],[1]!Table1[[#All],[Rate]])</f>
        <v>240</v>
      </c>
      <c r="H146" s="5"/>
    </row>
    <row r="147" spans="1:8" x14ac:dyDescent="0.3">
      <c r="A147" s="3">
        <v>45658</v>
      </c>
      <c r="B147" s="1" t="s">
        <v>152</v>
      </c>
      <c r="C147" s="4">
        <v>52.099999999999902</v>
      </c>
      <c r="D147" s="4">
        <v>241.5</v>
      </c>
      <c r="E147" t="str">
        <f>VLOOKUP(Table2[[#This Row],[Code]],[1]!Table1[#All],2,FALSE)</f>
        <v>Pen</v>
      </c>
      <c r="F147" t="str" cm="1">
        <f t="array" ref="F147">_xlfn.XLOOKUP(Table2[[#This Row],[Code]],[1]!Table1[[#All],[CODE]],[1]!Table1[[#All],[Category]])</f>
        <v>Stationery</v>
      </c>
      <c r="G147" cm="1">
        <f t="array" ref="G147">_xlfn.XLOOKUP(Table2[[#This Row],[Code]],[1]!Table1[[#All],[CODE]],[1]!Table1[[#All],[Rate]])</f>
        <v>241.5</v>
      </c>
      <c r="H147" s="5"/>
    </row>
    <row r="148" spans="1:8" x14ac:dyDescent="0.3">
      <c r="A148" s="3">
        <v>45658</v>
      </c>
      <c r="B148" s="1" t="s">
        <v>153</v>
      </c>
      <c r="C148" s="4">
        <v>52.399999999999899</v>
      </c>
      <c r="D148" s="4">
        <v>243</v>
      </c>
      <c r="E148" t="str">
        <f>VLOOKUP(Table2[[#This Row],[Code]],[1]!Table1[#All],2,FALSE)</f>
        <v>Notebook</v>
      </c>
      <c r="F148" t="str" cm="1">
        <f t="array" ref="F148">_xlfn.XLOOKUP(Table2[[#This Row],[Code]],[1]!Table1[[#All],[CODE]],[1]!Table1[[#All],[Category]])</f>
        <v>Stationery</v>
      </c>
      <c r="G148" cm="1">
        <f t="array" ref="G148">_xlfn.XLOOKUP(Table2[[#This Row],[Code]],[1]!Table1[[#All],[CODE]],[1]!Table1[[#All],[Rate]])</f>
        <v>243</v>
      </c>
      <c r="H148" s="5"/>
    </row>
    <row r="149" spans="1:8" x14ac:dyDescent="0.3">
      <c r="A149" s="3">
        <v>45659</v>
      </c>
      <c r="B149" s="1" t="s">
        <v>154</v>
      </c>
      <c r="C149" s="4">
        <v>52.699999999999903</v>
      </c>
      <c r="D149" s="4">
        <v>244.5</v>
      </c>
      <c r="E149" t="str">
        <f>VLOOKUP(Table2[[#This Row],[Code]],[1]!Table1[#All],2,FALSE)</f>
        <v>Marker</v>
      </c>
      <c r="F149" t="str" cm="1">
        <f t="array" ref="F149">_xlfn.XLOOKUP(Table2[[#This Row],[Code]],[1]!Table1[[#All],[CODE]],[1]!Table1[[#All],[Category]])</f>
        <v>Stationery</v>
      </c>
      <c r="G149" cm="1">
        <f t="array" ref="G149">_xlfn.XLOOKUP(Table2[[#This Row],[Code]],[1]!Table1[[#All],[CODE]],[1]!Table1[[#All],[Rate]])</f>
        <v>244.5</v>
      </c>
      <c r="H149" s="5"/>
    </row>
    <row r="150" spans="1:8" x14ac:dyDescent="0.3">
      <c r="A150" s="3">
        <v>45659</v>
      </c>
      <c r="B150" s="1" t="s">
        <v>155</v>
      </c>
      <c r="C150" s="4">
        <v>52.999999999999901</v>
      </c>
      <c r="D150" s="4">
        <v>246</v>
      </c>
      <c r="E150" t="str">
        <f>VLOOKUP(Table2[[#This Row],[Code]],[1]!Table1[#All],2,FALSE)</f>
        <v>Eraser</v>
      </c>
      <c r="F150" t="str" cm="1">
        <f t="array" ref="F150">_xlfn.XLOOKUP(Table2[[#This Row],[Code]],[1]!Table1[[#All],[CODE]],[1]!Table1[[#All],[Category]])</f>
        <v>Stationery</v>
      </c>
      <c r="G150" cm="1">
        <f t="array" ref="G150">_xlfn.XLOOKUP(Table2[[#This Row],[Code]],[1]!Table1[[#All],[CODE]],[1]!Table1[[#All],[Rate]])</f>
        <v>246</v>
      </c>
      <c r="H150" s="5"/>
    </row>
    <row r="151" spans="1:8" x14ac:dyDescent="0.3">
      <c r="A151" s="3">
        <v>45660</v>
      </c>
      <c r="B151" s="1" t="s">
        <v>156</v>
      </c>
      <c r="C151" s="4">
        <v>53.299999999999898</v>
      </c>
      <c r="D151" s="4">
        <v>247.5</v>
      </c>
      <c r="E151" t="str">
        <f>VLOOKUP(Table2[[#This Row],[Code]],[1]!Table1[#All],2,FALSE)</f>
        <v>File</v>
      </c>
      <c r="F151" t="str" cm="1">
        <f t="array" ref="F151">_xlfn.XLOOKUP(Table2[[#This Row],[Code]],[1]!Table1[[#All],[CODE]],[1]!Table1[[#All],[Category]])</f>
        <v>Office</v>
      </c>
      <c r="G151" cm="1">
        <f t="array" ref="G151">_xlfn.XLOOKUP(Table2[[#This Row],[Code]],[1]!Table1[[#All],[CODE]],[1]!Table1[[#All],[Rate]])</f>
        <v>247.5</v>
      </c>
      <c r="H151" s="5"/>
    </row>
    <row r="152" spans="1:8" x14ac:dyDescent="0.3">
      <c r="A152" s="3">
        <v>45658</v>
      </c>
      <c r="B152" s="1" t="s">
        <v>157</v>
      </c>
      <c r="C152" s="4">
        <v>53.599999999999902</v>
      </c>
      <c r="D152" s="4">
        <v>249</v>
      </c>
      <c r="E152" t="str">
        <f>VLOOKUP(Table2[[#This Row],[Code]],[1]!Table1[#All],2,FALSE)</f>
        <v>Pen</v>
      </c>
      <c r="F152" t="str" cm="1">
        <f t="array" ref="F152">_xlfn.XLOOKUP(Table2[[#This Row],[Code]],[1]!Table1[[#All],[CODE]],[1]!Table1[[#All],[Category]])</f>
        <v>Stationery</v>
      </c>
      <c r="G152" cm="1">
        <f t="array" ref="G152">_xlfn.XLOOKUP(Table2[[#This Row],[Code]],[1]!Table1[[#All],[CODE]],[1]!Table1[[#All],[Rate]])</f>
        <v>249</v>
      </c>
      <c r="H152" s="5"/>
    </row>
    <row r="153" spans="1:8" x14ac:dyDescent="0.3">
      <c r="A153" s="3">
        <v>45658</v>
      </c>
      <c r="B153" s="1" t="s">
        <v>158</v>
      </c>
      <c r="C153" s="4">
        <v>53.899999999999899</v>
      </c>
      <c r="D153" s="4">
        <v>250.5</v>
      </c>
      <c r="E153" t="str">
        <f>VLOOKUP(Table2[[#This Row],[Code]],[1]!Table1[#All],2,FALSE)</f>
        <v>Notebook</v>
      </c>
      <c r="F153" t="str" cm="1">
        <f t="array" ref="F153">_xlfn.XLOOKUP(Table2[[#This Row],[Code]],[1]!Table1[[#All],[CODE]],[1]!Table1[[#All],[Category]])</f>
        <v>Stationery</v>
      </c>
      <c r="G153" cm="1">
        <f t="array" ref="G153">_xlfn.XLOOKUP(Table2[[#This Row],[Code]],[1]!Table1[[#All],[CODE]],[1]!Table1[[#All],[Rate]])</f>
        <v>250.5</v>
      </c>
      <c r="H153" s="5"/>
    </row>
    <row r="154" spans="1:8" x14ac:dyDescent="0.3">
      <c r="A154" s="3">
        <v>45659</v>
      </c>
      <c r="B154" s="1" t="s">
        <v>159</v>
      </c>
      <c r="C154" s="4">
        <v>54.199999999999903</v>
      </c>
      <c r="D154" s="4">
        <v>252</v>
      </c>
      <c r="E154" t="str">
        <f>VLOOKUP(Table2[[#This Row],[Code]],[1]!Table1[#All],2,FALSE)</f>
        <v>Marker</v>
      </c>
      <c r="F154" t="str" cm="1">
        <f t="array" ref="F154">_xlfn.XLOOKUP(Table2[[#This Row],[Code]],[1]!Table1[[#All],[CODE]],[1]!Table1[[#All],[Category]])</f>
        <v>Stationery</v>
      </c>
      <c r="G154" cm="1">
        <f t="array" ref="G154">_xlfn.XLOOKUP(Table2[[#This Row],[Code]],[1]!Table1[[#All],[CODE]],[1]!Table1[[#All],[Rate]])</f>
        <v>252</v>
      </c>
      <c r="H154" s="5"/>
    </row>
    <row r="155" spans="1:8" x14ac:dyDescent="0.3">
      <c r="A155" s="3">
        <v>45659</v>
      </c>
      <c r="B155" s="1" t="s">
        <v>160</v>
      </c>
      <c r="C155" s="4">
        <v>54.499999999999901</v>
      </c>
      <c r="D155" s="4">
        <v>253.5</v>
      </c>
      <c r="E155" t="str">
        <f>VLOOKUP(Table2[[#This Row],[Code]],[1]!Table1[#All],2,FALSE)</f>
        <v>Eraser</v>
      </c>
      <c r="F155" t="str" cm="1">
        <f t="array" ref="F155">_xlfn.XLOOKUP(Table2[[#This Row],[Code]],[1]!Table1[[#All],[CODE]],[1]!Table1[[#All],[Category]])</f>
        <v>Stationery</v>
      </c>
      <c r="G155" cm="1">
        <f t="array" ref="G155">_xlfn.XLOOKUP(Table2[[#This Row],[Code]],[1]!Table1[[#All],[CODE]],[1]!Table1[[#All],[Rate]])</f>
        <v>253.5</v>
      </c>
      <c r="H155" s="5"/>
    </row>
    <row r="156" spans="1:8" x14ac:dyDescent="0.3">
      <c r="A156" s="3">
        <v>45660</v>
      </c>
      <c r="B156" s="1" t="s">
        <v>161</v>
      </c>
      <c r="C156" s="4">
        <v>54.799999999999898</v>
      </c>
      <c r="D156" s="4">
        <v>255</v>
      </c>
      <c r="E156" t="str">
        <f>VLOOKUP(Table2[[#This Row],[Code]],[1]!Table1[#All],2,FALSE)</f>
        <v>File</v>
      </c>
      <c r="F156" t="str" cm="1">
        <f t="array" ref="F156">_xlfn.XLOOKUP(Table2[[#This Row],[Code]],[1]!Table1[[#All],[CODE]],[1]!Table1[[#All],[Category]])</f>
        <v>Office</v>
      </c>
      <c r="G156" cm="1">
        <f t="array" ref="G156">_xlfn.XLOOKUP(Table2[[#This Row],[Code]],[1]!Table1[[#All],[CODE]],[1]!Table1[[#All],[Rate]])</f>
        <v>255</v>
      </c>
      <c r="H156" s="5"/>
    </row>
    <row r="157" spans="1:8" x14ac:dyDescent="0.3">
      <c r="A157" s="3">
        <v>45658</v>
      </c>
      <c r="B157" s="1" t="s">
        <v>162</v>
      </c>
      <c r="C157" s="4">
        <v>55.099999999999902</v>
      </c>
      <c r="D157" s="4">
        <v>256.5</v>
      </c>
      <c r="E157" t="str">
        <f>VLOOKUP(Table2[[#This Row],[Code]],[1]!Table1[#All],2,FALSE)</f>
        <v>Pen</v>
      </c>
      <c r="F157" t="str" cm="1">
        <f t="array" ref="F157">_xlfn.XLOOKUP(Table2[[#This Row],[Code]],[1]!Table1[[#All],[CODE]],[1]!Table1[[#All],[Category]])</f>
        <v>Stationery</v>
      </c>
      <c r="G157" cm="1">
        <f t="array" ref="G157">_xlfn.XLOOKUP(Table2[[#This Row],[Code]],[1]!Table1[[#All],[CODE]],[1]!Table1[[#All],[Rate]])</f>
        <v>256.5</v>
      </c>
      <c r="H157" s="5"/>
    </row>
    <row r="158" spans="1:8" x14ac:dyDescent="0.3">
      <c r="A158" s="3">
        <v>45658</v>
      </c>
      <c r="B158" s="1" t="s">
        <v>163</v>
      </c>
      <c r="C158" s="4">
        <v>55.399999999999899</v>
      </c>
      <c r="D158" s="4">
        <v>258</v>
      </c>
      <c r="E158" t="str">
        <f>VLOOKUP(Table2[[#This Row],[Code]],[1]!Table1[#All],2,FALSE)</f>
        <v>Notebook</v>
      </c>
      <c r="F158" t="str" cm="1">
        <f t="array" ref="F158">_xlfn.XLOOKUP(Table2[[#This Row],[Code]],[1]!Table1[[#All],[CODE]],[1]!Table1[[#All],[Category]])</f>
        <v>Stationery</v>
      </c>
      <c r="G158" cm="1">
        <f t="array" ref="G158">_xlfn.XLOOKUP(Table2[[#This Row],[Code]],[1]!Table1[[#All],[CODE]],[1]!Table1[[#All],[Rate]])</f>
        <v>258</v>
      </c>
      <c r="H158" s="5"/>
    </row>
    <row r="159" spans="1:8" x14ac:dyDescent="0.3">
      <c r="A159" s="3">
        <v>45659</v>
      </c>
      <c r="B159" s="1" t="s">
        <v>164</v>
      </c>
      <c r="C159" s="4">
        <v>55.699999999999903</v>
      </c>
      <c r="D159" s="4">
        <v>259.5</v>
      </c>
      <c r="E159" t="str">
        <f>VLOOKUP(Table2[[#This Row],[Code]],[1]!Table1[#All],2,FALSE)</f>
        <v>Marker</v>
      </c>
      <c r="F159" t="str" cm="1">
        <f t="array" ref="F159">_xlfn.XLOOKUP(Table2[[#This Row],[Code]],[1]!Table1[[#All],[CODE]],[1]!Table1[[#All],[Category]])</f>
        <v>Stationery</v>
      </c>
      <c r="G159" cm="1">
        <f t="array" ref="G159">_xlfn.XLOOKUP(Table2[[#This Row],[Code]],[1]!Table1[[#All],[CODE]],[1]!Table1[[#All],[Rate]])</f>
        <v>259.5</v>
      </c>
      <c r="H159" s="5"/>
    </row>
    <row r="160" spans="1:8" x14ac:dyDescent="0.3">
      <c r="A160" s="3">
        <v>45659</v>
      </c>
      <c r="B160" s="1" t="s">
        <v>165</v>
      </c>
      <c r="C160" s="4">
        <v>55.999999999999901</v>
      </c>
      <c r="D160" s="4">
        <v>261</v>
      </c>
      <c r="E160" t="str">
        <f>VLOOKUP(Table2[[#This Row],[Code]],[1]!Table1[#All],2,FALSE)</f>
        <v>Eraser</v>
      </c>
      <c r="F160" t="str" cm="1">
        <f t="array" ref="F160">_xlfn.XLOOKUP(Table2[[#This Row],[Code]],[1]!Table1[[#All],[CODE]],[1]!Table1[[#All],[Category]])</f>
        <v>Stationery</v>
      </c>
      <c r="G160" cm="1">
        <f t="array" ref="G160">_xlfn.XLOOKUP(Table2[[#This Row],[Code]],[1]!Table1[[#All],[CODE]],[1]!Table1[[#All],[Rate]])</f>
        <v>261</v>
      </c>
      <c r="H160" s="5"/>
    </row>
    <row r="161" spans="1:8" x14ac:dyDescent="0.3">
      <c r="A161" s="3">
        <v>45660</v>
      </c>
      <c r="B161" s="1" t="s">
        <v>166</v>
      </c>
      <c r="C161" s="4">
        <v>56.299999999999898</v>
      </c>
      <c r="D161" s="4">
        <v>262.5</v>
      </c>
      <c r="E161" t="str">
        <f>VLOOKUP(Table2[[#This Row],[Code]],[1]!Table1[#All],2,FALSE)</f>
        <v>File</v>
      </c>
      <c r="F161" t="str" cm="1">
        <f t="array" ref="F161">_xlfn.XLOOKUP(Table2[[#This Row],[Code]],[1]!Table1[[#All],[CODE]],[1]!Table1[[#All],[Category]])</f>
        <v>Office</v>
      </c>
      <c r="G161" cm="1">
        <f t="array" ref="G161">_xlfn.XLOOKUP(Table2[[#This Row],[Code]],[1]!Table1[[#All],[CODE]],[1]!Table1[[#All],[Rate]])</f>
        <v>262.5</v>
      </c>
      <c r="H161" s="5"/>
    </row>
    <row r="162" spans="1:8" x14ac:dyDescent="0.3">
      <c r="A162" s="3">
        <v>45658</v>
      </c>
      <c r="B162" s="1" t="s">
        <v>167</v>
      </c>
      <c r="C162" s="4">
        <v>56.599999999999902</v>
      </c>
      <c r="D162" s="4">
        <v>264</v>
      </c>
      <c r="E162" t="str">
        <f>VLOOKUP(Table2[[#This Row],[Code]],[1]!Table1[#All],2,FALSE)</f>
        <v>Pen</v>
      </c>
      <c r="F162" t="str" cm="1">
        <f t="array" ref="F162">_xlfn.XLOOKUP(Table2[[#This Row],[Code]],[1]!Table1[[#All],[CODE]],[1]!Table1[[#All],[Category]])</f>
        <v>Stationery</v>
      </c>
      <c r="G162" cm="1">
        <f t="array" ref="G162">_xlfn.XLOOKUP(Table2[[#This Row],[Code]],[1]!Table1[[#All],[CODE]],[1]!Table1[[#All],[Rate]])</f>
        <v>264</v>
      </c>
      <c r="H162" s="5"/>
    </row>
    <row r="163" spans="1:8" x14ac:dyDescent="0.3">
      <c r="A163" s="3">
        <v>45658</v>
      </c>
      <c r="B163" s="1" t="s">
        <v>168</v>
      </c>
      <c r="C163" s="4">
        <v>56.899999999999899</v>
      </c>
      <c r="D163" s="4">
        <v>265.5</v>
      </c>
      <c r="E163" t="str">
        <f>VLOOKUP(Table2[[#This Row],[Code]],[1]!Table1[#All],2,FALSE)</f>
        <v>Notebook</v>
      </c>
      <c r="F163" t="str" cm="1">
        <f t="array" ref="F163">_xlfn.XLOOKUP(Table2[[#This Row],[Code]],[1]!Table1[[#All],[CODE]],[1]!Table1[[#All],[Category]])</f>
        <v>Stationery</v>
      </c>
      <c r="G163" cm="1">
        <f t="array" ref="G163">_xlfn.XLOOKUP(Table2[[#This Row],[Code]],[1]!Table1[[#All],[CODE]],[1]!Table1[[#All],[Rate]])</f>
        <v>265.5</v>
      </c>
      <c r="H163" s="5"/>
    </row>
    <row r="164" spans="1:8" x14ac:dyDescent="0.3">
      <c r="A164" s="3">
        <v>45659</v>
      </c>
      <c r="B164" s="1" t="s">
        <v>169</v>
      </c>
      <c r="C164" s="4">
        <v>57.199999999999903</v>
      </c>
      <c r="D164" s="4">
        <v>267</v>
      </c>
      <c r="E164" t="str">
        <f>VLOOKUP(Table2[[#This Row],[Code]],[1]!Table1[#All],2,FALSE)</f>
        <v>Marker</v>
      </c>
      <c r="F164" t="str" cm="1">
        <f t="array" ref="F164">_xlfn.XLOOKUP(Table2[[#This Row],[Code]],[1]!Table1[[#All],[CODE]],[1]!Table1[[#All],[Category]])</f>
        <v>Stationery</v>
      </c>
      <c r="G164" cm="1">
        <f t="array" ref="G164">_xlfn.XLOOKUP(Table2[[#This Row],[Code]],[1]!Table1[[#All],[CODE]],[1]!Table1[[#All],[Rate]])</f>
        <v>267</v>
      </c>
      <c r="H164" s="5"/>
    </row>
    <row r="165" spans="1:8" x14ac:dyDescent="0.3">
      <c r="A165" s="3">
        <v>45659</v>
      </c>
      <c r="B165" s="1" t="s">
        <v>170</v>
      </c>
      <c r="C165" s="4">
        <v>57.499999999999901</v>
      </c>
      <c r="D165" s="4">
        <v>268.5</v>
      </c>
      <c r="E165" t="str">
        <f>VLOOKUP(Table2[[#This Row],[Code]],[1]!Table1[#All],2,FALSE)</f>
        <v>Eraser</v>
      </c>
      <c r="F165" t="str" cm="1">
        <f t="array" ref="F165">_xlfn.XLOOKUP(Table2[[#This Row],[Code]],[1]!Table1[[#All],[CODE]],[1]!Table1[[#All],[Category]])</f>
        <v>Stationery</v>
      </c>
      <c r="G165" cm="1">
        <f t="array" ref="G165">_xlfn.XLOOKUP(Table2[[#This Row],[Code]],[1]!Table1[[#All],[CODE]],[1]!Table1[[#All],[Rate]])</f>
        <v>268.5</v>
      </c>
      <c r="H165" s="5"/>
    </row>
    <row r="166" spans="1:8" x14ac:dyDescent="0.3">
      <c r="A166" s="3">
        <v>45660</v>
      </c>
      <c r="B166" s="1" t="s">
        <v>171</v>
      </c>
      <c r="C166" s="4">
        <v>57.799999999999898</v>
      </c>
      <c r="D166" s="4">
        <v>270</v>
      </c>
      <c r="E166" t="str">
        <f>VLOOKUP(Table2[[#This Row],[Code]],[1]!Table1[#All],2,FALSE)</f>
        <v>File</v>
      </c>
      <c r="F166" t="str" cm="1">
        <f t="array" ref="F166">_xlfn.XLOOKUP(Table2[[#This Row],[Code]],[1]!Table1[[#All],[CODE]],[1]!Table1[[#All],[Category]])</f>
        <v>Office</v>
      </c>
      <c r="G166" cm="1">
        <f t="array" ref="G166">_xlfn.XLOOKUP(Table2[[#This Row],[Code]],[1]!Table1[[#All],[CODE]],[1]!Table1[[#All],[Rate]])</f>
        <v>270</v>
      </c>
      <c r="H166" s="5"/>
    </row>
    <row r="167" spans="1:8" x14ac:dyDescent="0.3">
      <c r="A167" s="3">
        <v>45658</v>
      </c>
      <c r="B167" s="1" t="s">
        <v>172</v>
      </c>
      <c r="C167" s="4">
        <v>58.099999999999902</v>
      </c>
      <c r="D167" s="4">
        <v>271.5</v>
      </c>
      <c r="E167" t="str">
        <f>VLOOKUP(Table2[[#This Row],[Code]],[1]!Table1[#All],2,FALSE)</f>
        <v>Pen</v>
      </c>
      <c r="F167" t="str" cm="1">
        <f t="array" ref="F167">_xlfn.XLOOKUP(Table2[[#This Row],[Code]],[1]!Table1[[#All],[CODE]],[1]!Table1[[#All],[Category]])</f>
        <v>Stationery</v>
      </c>
      <c r="G167" cm="1">
        <f t="array" ref="G167">_xlfn.XLOOKUP(Table2[[#This Row],[Code]],[1]!Table1[[#All],[CODE]],[1]!Table1[[#All],[Rate]])</f>
        <v>271.5</v>
      </c>
      <c r="H167" s="5"/>
    </row>
    <row r="168" spans="1:8" x14ac:dyDescent="0.3">
      <c r="A168" s="3">
        <v>45658</v>
      </c>
      <c r="B168" s="1" t="s">
        <v>173</v>
      </c>
      <c r="C168" s="4">
        <v>58.399999999999899</v>
      </c>
      <c r="D168" s="4">
        <v>273</v>
      </c>
      <c r="E168" t="str">
        <f>VLOOKUP(Table2[[#This Row],[Code]],[1]!Table1[#All],2,FALSE)</f>
        <v>Notebook</v>
      </c>
      <c r="F168" t="str" cm="1">
        <f t="array" ref="F168">_xlfn.XLOOKUP(Table2[[#This Row],[Code]],[1]!Table1[[#All],[CODE]],[1]!Table1[[#All],[Category]])</f>
        <v>Stationery</v>
      </c>
      <c r="G168" cm="1">
        <f t="array" ref="G168">_xlfn.XLOOKUP(Table2[[#This Row],[Code]],[1]!Table1[[#All],[CODE]],[1]!Table1[[#All],[Rate]])</f>
        <v>273</v>
      </c>
      <c r="H168" s="5"/>
    </row>
    <row r="169" spans="1:8" x14ac:dyDescent="0.3">
      <c r="A169" s="3">
        <v>45659</v>
      </c>
      <c r="B169" s="1" t="s">
        <v>174</v>
      </c>
      <c r="C169" s="4">
        <v>58.699999999999903</v>
      </c>
      <c r="D169" s="4">
        <v>274.5</v>
      </c>
      <c r="E169" t="str">
        <f>VLOOKUP(Table2[[#This Row],[Code]],[1]!Table1[#All],2,FALSE)</f>
        <v>Marker</v>
      </c>
      <c r="F169" t="str" cm="1">
        <f t="array" ref="F169">_xlfn.XLOOKUP(Table2[[#This Row],[Code]],[1]!Table1[[#All],[CODE]],[1]!Table1[[#All],[Category]])</f>
        <v>Stationery</v>
      </c>
      <c r="G169" cm="1">
        <f t="array" ref="G169">_xlfn.XLOOKUP(Table2[[#This Row],[Code]],[1]!Table1[[#All],[CODE]],[1]!Table1[[#All],[Rate]])</f>
        <v>274.5</v>
      </c>
      <c r="H169" s="5"/>
    </row>
    <row r="170" spans="1:8" x14ac:dyDescent="0.3">
      <c r="A170" s="3">
        <v>45659</v>
      </c>
      <c r="B170" s="1" t="s">
        <v>175</v>
      </c>
      <c r="C170" s="4">
        <v>58.999999999999901</v>
      </c>
      <c r="D170" s="4">
        <v>276</v>
      </c>
      <c r="E170" t="str">
        <f>VLOOKUP(Table2[[#This Row],[Code]],[1]!Table1[#All],2,FALSE)</f>
        <v>Eraser</v>
      </c>
      <c r="F170" t="str" cm="1">
        <f t="array" ref="F170">_xlfn.XLOOKUP(Table2[[#This Row],[Code]],[1]!Table1[[#All],[CODE]],[1]!Table1[[#All],[Category]])</f>
        <v>Stationery</v>
      </c>
      <c r="G170" cm="1">
        <f t="array" ref="G170">_xlfn.XLOOKUP(Table2[[#This Row],[Code]],[1]!Table1[[#All],[CODE]],[1]!Table1[[#All],[Rate]])</f>
        <v>276</v>
      </c>
      <c r="H170" s="5"/>
    </row>
    <row r="171" spans="1:8" x14ac:dyDescent="0.3">
      <c r="A171" s="3">
        <v>45660</v>
      </c>
      <c r="B171" s="1" t="s">
        <v>176</v>
      </c>
      <c r="C171" s="4">
        <v>59.299999999999898</v>
      </c>
      <c r="D171" s="4">
        <v>277.5</v>
      </c>
      <c r="E171" t="str">
        <f>VLOOKUP(Table2[[#This Row],[Code]],[1]!Table1[#All],2,FALSE)</f>
        <v>File</v>
      </c>
      <c r="F171" t="str" cm="1">
        <f t="array" ref="F171">_xlfn.XLOOKUP(Table2[[#This Row],[Code]],[1]!Table1[[#All],[CODE]],[1]!Table1[[#All],[Category]])</f>
        <v>Office</v>
      </c>
      <c r="G171" cm="1">
        <f t="array" ref="G171">_xlfn.XLOOKUP(Table2[[#This Row],[Code]],[1]!Table1[[#All],[CODE]],[1]!Table1[[#All],[Rate]])</f>
        <v>277.5</v>
      </c>
      <c r="H171" s="5"/>
    </row>
    <row r="172" spans="1:8" x14ac:dyDescent="0.3">
      <c r="A172" s="3">
        <v>45658</v>
      </c>
      <c r="B172" s="1" t="s">
        <v>177</v>
      </c>
      <c r="C172" s="4">
        <v>59.599999999999902</v>
      </c>
      <c r="D172" s="4">
        <v>279</v>
      </c>
      <c r="E172" t="str">
        <f>VLOOKUP(Table2[[#This Row],[Code]],[1]!Table1[#All],2,FALSE)</f>
        <v>Pen</v>
      </c>
      <c r="F172" t="str" cm="1">
        <f t="array" ref="F172">_xlfn.XLOOKUP(Table2[[#This Row],[Code]],[1]!Table1[[#All],[CODE]],[1]!Table1[[#All],[Category]])</f>
        <v>Stationery</v>
      </c>
      <c r="G172" cm="1">
        <f t="array" ref="G172">_xlfn.XLOOKUP(Table2[[#This Row],[Code]],[1]!Table1[[#All],[CODE]],[1]!Table1[[#All],[Rate]])</f>
        <v>279</v>
      </c>
      <c r="H172" s="5"/>
    </row>
    <row r="173" spans="1:8" x14ac:dyDescent="0.3">
      <c r="A173" s="3">
        <v>45658</v>
      </c>
      <c r="B173" s="1" t="s">
        <v>178</v>
      </c>
      <c r="C173" s="4">
        <v>59.899999999999899</v>
      </c>
      <c r="D173" s="4">
        <v>280.5</v>
      </c>
      <c r="E173" t="str">
        <f>VLOOKUP(Table2[[#This Row],[Code]],[1]!Table1[#All],2,FALSE)</f>
        <v>Notebook</v>
      </c>
      <c r="F173" t="str" cm="1">
        <f t="array" ref="F173">_xlfn.XLOOKUP(Table2[[#This Row],[Code]],[1]!Table1[[#All],[CODE]],[1]!Table1[[#All],[Category]])</f>
        <v>Stationery</v>
      </c>
      <c r="G173" cm="1">
        <f t="array" ref="G173">_xlfn.XLOOKUP(Table2[[#This Row],[Code]],[1]!Table1[[#All],[CODE]],[1]!Table1[[#All],[Rate]])</f>
        <v>280.5</v>
      </c>
      <c r="H173" s="5"/>
    </row>
    <row r="174" spans="1:8" x14ac:dyDescent="0.3">
      <c r="A174" s="3">
        <v>45659</v>
      </c>
      <c r="B174" s="1" t="s">
        <v>179</v>
      </c>
      <c r="C174" s="4">
        <v>60.199999999999903</v>
      </c>
      <c r="D174" s="4">
        <v>282</v>
      </c>
      <c r="E174" t="str">
        <f>VLOOKUP(Table2[[#This Row],[Code]],[1]!Table1[#All],2,FALSE)</f>
        <v>Marker</v>
      </c>
      <c r="F174" t="str" cm="1">
        <f t="array" ref="F174">_xlfn.XLOOKUP(Table2[[#This Row],[Code]],[1]!Table1[[#All],[CODE]],[1]!Table1[[#All],[Category]])</f>
        <v>Stationery</v>
      </c>
      <c r="G174" cm="1">
        <f t="array" ref="G174">_xlfn.XLOOKUP(Table2[[#This Row],[Code]],[1]!Table1[[#All],[CODE]],[1]!Table1[[#All],[Rate]])</f>
        <v>282</v>
      </c>
      <c r="H174" s="5"/>
    </row>
    <row r="175" spans="1:8" x14ac:dyDescent="0.3">
      <c r="A175" s="3">
        <v>45659</v>
      </c>
      <c r="B175" s="1" t="s">
        <v>180</v>
      </c>
      <c r="C175" s="4">
        <v>60.499999999999901</v>
      </c>
      <c r="D175" s="4">
        <v>283.5</v>
      </c>
      <c r="E175" t="str">
        <f>VLOOKUP(Table2[[#This Row],[Code]],[1]!Table1[#All],2,FALSE)</f>
        <v>Eraser</v>
      </c>
      <c r="F175" t="str" cm="1">
        <f t="array" ref="F175">_xlfn.XLOOKUP(Table2[[#This Row],[Code]],[1]!Table1[[#All],[CODE]],[1]!Table1[[#All],[Category]])</f>
        <v>Stationery</v>
      </c>
      <c r="G175" cm="1">
        <f t="array" ref="G175">_xlfn.XLOOKUP(Table2[[#This Row],[Code]],[1]!Table1[[#All],[CODE]],[1]!Table1[[#All],[Rate]])</f>
        <v>283.5</v>
      </c>
      <c r="H175" s="5"/>
    </row>
    <row r="176" spans="1:8" x14ac:dyDescent="0.3">
      <c r="A176" s="3">
        <v>45660</v>
      </c>
      <c r="B176" s="1" t="s">
        <v>181</v>
      </c>
      <c r="C176" s="4">
        <v>60.799999999999898</v>
      </c>
      <c r="D176" s="4">
        <v>285</v>
      </c>
      <c r="E176" t="str">
        <f>VLOOKUP(Table2[[#This Row],[Code]],[1]!Table1[#All],2,FALSE)</f>
        <v>File</v>
      </c>
      <c r="F176" t="str" cm="1">
        <f t="array" ref="F176">_xlfn.XLOOKUP(Table2[[#This Row],[Code]],[1]!Table1[[#All],[CODE]],[1]!Table1[[#All],[Category]])</f>
        <v>Office</v>
      </c>
      <c r="G176" cm="1">
        <f t="array" ref="G176">_xlfn.XLOOKUP(Table2[[#This Row],[Code]],[1]!Table1[[#All],[CODE]],[1]!Table1[[#All],[Rate]])</f>
        <v>285</v>
      </c>
      <c r="H176" s="5"/>
    </row>
    <row r="177" spans="1:8" x14ac:dyDescent="0.3">
      <c r="A177" s="3">
        <v>45658</v>
      </c>
      <c r="B177" s="1" t="s">
        <v>182</v>
      </c>
      <c r="C177" s="4">
        <v>61.099999999999902</v>
      </c>
      <c r="D177" s="4">
        <v>286.5</v>
      </c>
      <c r="E177" t="str">
        <f>VLOOKUP(Table2[[#This Row],[Code]],[1]!Table1[#All],2,FALSE)</f>
        <v>Pen</v>
      </c>
      <c r="F177" t="str" cm="1">
        <f t="array" ref="F177">_xlfn.XLOOKUP(Table2[[#This Row],[Code]],[1]!Table1[[#All],[CODE]],[1]!Table1[[#All],[Category]])</f>
        <v>Stationery</v>
      </c>
      <c r="G177" cm="1">
        <f t="array" ref="G177">_xlfn.XLOOKUP(Table2[[#This Row],[Code]],[1]!Table1[[#All],[CODE]],[1]!Table1[[#All],[Rate]])</f>
        <v>286.5</v>
      </c>
      <c r="H177" s="5"/>
    </row>
    <row r="178" spans="1:8" x14ac:dyDescent="0.3">
      <c r="A178" s="3">
        <v>45658</v>
      </c>
      <c r="B178" s="1" t="s">
        <v>183</v>
      </c>
      <c r="C178" s="4">
        <v>61.399999999999899</v>
      </c>
      <c r="D178" s="4">
        <v>288</v>
      </c>
      <c r="E178" t="str">
        <f>VLOOKUP(Table2[[#This Row],[Code]],[1]!Table1[#All],2,FALSE)</f>
        <v>Notebook</v>
      </c>
      <c r="F178" t="str" cm="1">
        <f t="array" ref="F178">_xlfn.XLOOKUP(Table2[[#This Row],[Code]],[1]!Table1[[#All],[CODE]],[1]!Table1[[#All],[Category]])</f>
        <v>Stationery</v>
      </c>
      <c r="G178" cm="1">
        <f t="array" ref="G178">_xlfn.XLOOKUP(Table2[[#This Row],[Code]],[1]!Table1[[#All],[CODE]],[1]!Table1[[#All],[Rate]])</f>
        <v>288</v>
      </c>
      <c r="H178" s="5"/>
    </row>
    <row r="179" spans="1:8" x14ac:dyDescent="0.3">
      <c r="A179" s="3">
        <v>45659</v>
      </c>
      <c r="B179" s="1" t="s">
        <v>184</v>
      </c>
      <c r="C179" s="4">
        <v>61.699999999999903</v>
      </c>
      <c r="D179" s="4">
        <v>289.5</v>
      </c>
      <c r="E179" t="str">
        <f>VLOOKUP(Table2[[#This Row],[Code]],[1]!Table1[#All],2,FALSE)</f>
        <v>Marker</v>
      </c>
      <c r="F179" t="str" cm="1">
        <f t="array" ref="F179">_xlfn.XLOOKUP(Table2[[#This Row],[Code]],[1]!Table1[[#All],[CODE]],[1]!Table1[[#All],[Category]])</f>
        <v>Stationery</v>
      </c>
      <c r="G179" cm="1">
        <f t="array" ref="G179">_xlfn.XLOOKUP(Table2[[#This Row],[Code]],[1]!Table1[[#All],[CODE]],[1]!Table1[[#All],[Rate]])</f>
        <v>289.5</v>
      </c>
      <c r="H179" s="5"/>
    </row>
    <row r="180" spans="1:8" x14ac:dyDescent="0.3">
      <c r="A180" s="3">
        <v>45659</v>
      </c>
      <c r="B180" s="1" t="s">
        <v>185</v>
      </c>
      <c r="C180" s="4">
        <v>61.999999999999901</v>
      </c>
      <c r="D180" s="4">
        <v>291</v>
      </c>
      <c r="E180" t="str">
        <f>VLOOKUP(Table2[[#This Row],[Code]],[1]!Table1[#All],2,FALSE)</f>
        <v>Eraser</v>
      </c>
      <c r="F180" t="str" cm="1">
        <f t="array" ref="F180">_xlfn.XLOOKUP(Table2[[#This Row],[Code]],[1]!Table1[[#All],[CODE]],[1]!Table1[[#All],[Category]])</f>
        <v>Stationery</v>
      </c>
      <c r="G180" cm="1">
        <f t="array" ref="G180">_xlfn.XLOOKUP(Table2[[#This Row],[Code]],[1]!Table1[[#All],[CODE]],[1]!Table1[[#All],[Rate]])</f>
        <v>291</v>
      </c>
      <c r="H180" s="5"/>
    </row>
    <row r="181" spans="1:8" x14ac:dyDescent="0.3">
      <c r="A181" s="3">
        <v>45660</v>
      </c>
      <c r="B181" s="1" t="s">
        <v>186</v>
      </c>
      <c r="C181" s="4">
        <v>62.299999999999898</v>
      </c>
      <c r="D181" s="4">
        <v>292.5</v>
      </c>
      <c r="E181" t="str">
        <f>VLOOKUP(Table2[[#This Row],[Code]],[1]!Table1[#All],2,FALSE)</f>
        <v>File</v>
      </c>
      <c r="F181" t="str" cm="1">
        <f t="array" ref="F181">_xlfn.XLOOKUP(Table2[[#This Row],[Code]],[1]!Table1[[#All],[CODE]],[1]!Table1[[#All],[Category]])</f>
        <v>Office</v>
      </c>
      <c r="G181" cm="1">
        <f t="array" ref="G181">_xlfn.XLOOKUP(Table2[[#This Row],[Code]],[1]!Table1[[#All],[CODE]],[1]!Table1[[#All],[Rate]])</f>
        <v>292.5</v>
      </c>
      <c r="H181" s="5"/>
    </row>
    <row r="182" spans="1:8" x14ac:dyDescent="0.3">
      <c r="A182" s="3">
        <v>45658</v>
      </c>
      <c r="B182" s="1" t="s">
        <v>187</v>
      </c>
      <c r="C182" s="4">
        <v>62.599999999999902</v>
      </c>
      <c r="D182" s="4">
        <v>294</v>
      </c>
      <c r="E182" t="str">
        <f>VLOOKUP(Table2[[#This Row],[Code]],[1]!Table1[#All],2,FALSE)</f>
        <v>Pen</v>
      </c>
      <c r="F182" t="str" cm="1">
        <f t="array" ref="F182">_xlfn.XLOOKUP(Table2[[#This Row],[Code]],[1]!Table1[[#All],[CODE]],[1]!Table1[[#All],[Category]])</f>
        <v>Stationery</v>
      </c>
      <c r="G182" cm="1">
        <f t="array" ref="G182">_xlfn.XLOOKUP(Table2[[#This Row],[Code]],[1]!Table1[[#All],[CODE]],[1]!Table1[[#All],[Rate]])</f>
        <v>294</v>
      </c>
      <c r="H182" s="5"/>
    </row>
    <row r="183" spans="1:8" x14ac:dyDescent="0.3">
      <c r="A183" s="3">
        <v>45658</v>
      </c>
      <c r="B183" s="1" t="s">
        <v>188</v>
      </c>
      <c r="C183" s="4">
        <v>62.899999999999899</v>
      </c>
      <c r="D183" s="4">
        <v>295.5</v>
      </c>
      <c r="E183" t="str">
        <f>VLOOKUP(Table2[[#This Row],[Code]],[1]!Table1[#All],2,FALSE)</f>
        <v>Notebook</v>
      </c>
      <c r="F183" t="str" cm="1">
        <f t="array" ref="F183">_xlfn.XLOOKUP(Table2[[#This Row],[Code]],[1]!Table1[[#All],[CODE]],[1]!Table1[[#All],[Category]])</f>
        <v>Stationery</v>
      </c>
      <c r="G183" cm="1">
        <f t="array" ref="G183">_xlfn.XLOOKUP(Table2[[#This Row],[Code]],[1]!Table1[[#All],[CODE]],[1]!Table1[[#All],[Rate]])</f>
        <v>295.5</v>
      </c>
      <c r="H183" s="5"/>
    </row>
    <row r="184" spans="1:8" x14ac:dyDescent="0.3">
      <c r="A184" s="3">
        <v>45659</v>
      </c>
      <c r="B184" s="1" t="s">
        <v>189</v>
      </c>
      <c r="C184" s="4">
        <v>63.199999999999903</v>
      </c>
      <c r="D184" s="4">
        <v>297</v>
      </c>
      <c r="E184" t="str">
        <f>VLOOKUP(Table2[[#This Row],[Code]],[1]!Table1[#All],2,FALSE)</f>
        <v>Marker</v>
      </c>
      <c r="F184" t="str" cm="1">
        <f t="array" ref="F184">_xlfn.XLOOKUP(Table2[[#This Row],[Code]],[1]!Table1[[#All],[CODE]],[1]!Table1[[#All],[Category]])</f>
        <v>Stationery</v>
      </c>
      <c r="G184" cm="1">
        <f t="array" ref="G184">_xlfn.XLOOKUP(Table2[[#This Row],[Code]],[1]!Table1[[#All],[CODE]],[1]!Table1[[#All],[Rate]])</f>
        <v>297</v>
      </c>
      <c r="H184" s="5"/>
    </row>
    <row r="185" spans="1:8" x14ac:dyDescent="0.3">
      <c r="A185" s="3">
        <v>45659</v>
      </c>
      <c r="B185" s="1" t="s">
        <v>190</v>
      </c>
      <c r="C185" s="4">
        <v>63.499999999999901</v>
      </c>
      <c r="D185" s="4">
        <v>298.5</v>
      </c>
      <c r="E185" t="str">
        <f>VLOOKUP(Table2[[#This Row],[Code]],[1]!Table1[#All],2,FALSE)</f>
        <v>Eraser</v>
      </c>
      <c r="F185" t="str" cm="1">
        <f t="array" ref="F185">_xlfn.XLOOKUP(Table2[[#This Row],[Code]],[1]!Table1[[#All],[CODE]],[1]!Table1[[#All],[Category]])</f>
        <v>Stationery</v>
      </c>
      <c r="G185" cm="1">
        <f t="array" ref="G185">_xlfn.XLOOKUP(Table2[[#This Row],[Code]],[1]!Table1[[#All],[CODE]],[1]!Table1[[#All],[Rate]])</f>
        <v>298.5</v>
      </c>
      <c r="H185" s="5"/>
    </row>
    <row r="186" spans="1:8" x14ac:dyDescent="0.3">
      <c r="A186" s="3">
        <v>45660</v>
      </c>
      <c r="B186" s="1" t="s">
        <v>191</v>
      </c>
      <c r="C186" s="4">
        <v>63.799999999999898</v>
      </c>
      <c r="D186" s="4">
        <v>300</v>
      </c>
      <c r="E186" t="str">
        <f>VLOOKUP(Table2[[#This Row],[Code]],[1]!Table1[#All],2,FALSE)</f>
        <v>File</v>
      </c>
      <c r="F186" t="str" cm="1">
        <f t="array" ref="F186">_xlfn.XLOOKUP(Table2[[#This Row],[Code]],[1]!Table1[[#All],[CODE]],[1]!Table1[[#All],[Category]])</f>
        <v>Office</v>
      </c>
      <c r="G186" cm="1">
        <f t="array" ref="G186">_xlfn.XLOOKUP(Table2[[#This Row],[Code]],[1]!Table1[[#All],[CODE]],[1]!Table1[[#All],[Rate]])</f>
        <v>300</v>
      </c>
      <c r="H186" s="5"/>
    </row>
    <row r="187" spans="1:8" x14ac:dyDescent="0.3">
      <c r="A187" s="3">
        <v>45658</v>
      </c>
      <c r="B187" s="1" t="s">
        <v>192</v>
      </c>
      <c r="C187" s="4">
        <v>64.099999999999895</v>
      </c>
      <c r="D187" s="4">
        <v>301.5</v>
      </c>
      <c r="E187" t="str">
        <f>VLOOKUP(Table2[[#This Row],[Code]],[1]!Table1[#All],2,FALSE)</f>
        <v>Pen</v>
      </c>
      <c r="F187" t="str" cm="1">
        <f t="array" ref="F187">_xlfn.XLOOKUP(Table2[[#This Row],[Code]],[1]!Table1[[#All],[CODE]],[1]!Table1[[#All],[Category]])</f>
        <v>Stationery</v>
      </c>
      <c r="G187" cm="1">
        <f t="array" ref="G187">_xlfn.XLOOKUP(Table2[[#This Row],[Code]],[1]!Table1[[#All],[CODE]],[1]!Table1[[#All],[Rate]])</f>
        <v>301.5</v>
      </c>
      <c r="H187" s="5"/>
    </row>
    <row r="188" spans="1:8" x14ac:dyDescent="0.3">
      <c r="A188" s="3">
        <v>45658</v>
      </c>
      <c r="B188" s="1" t="s">
        <v>193</v>
      </c>
      <c r="C188" s="4">
        <v>64.399999999999906</v>
      </c>
      <c r="D188" s="4">
        <v>303</v>
      </c>
      <c r="E188" t="str">
        <f>VLOOKUP(Table2[[#This Row],[Code]],[1]!Table1[#All],2,FALSE)</f>
        <v>Notebook</v>
      </c>
      <c r="F188" t="str" cm="1">
        <f t="array" ref="F188">_xlfn.XLOOKUP(Table2[[#This Row],[Code]],[1]!Table1[[#All],[CODE]],[1]!Table1[[#All],[Category]])</f>
        <v>Stationery</v>
      </c>
      <c r="G188" cm="1">
        <f t="array" ref="G188">_xlfn.XLOOKUP(Table2[[#This Row],[Code]],[1]!Table1[[#All],[CODE]],[1]!Table1[[#All],[Rate]])</f>
        <v>303</v>
      </c>
      <c r="H188" s="5"/>
    </row>
    <row r="189" spans="1:8" x14ac:dyDescent="0.3">
      <c r="A189" s="3">
        <v>45659</v>
      </c>
      <c r="B189" s="1" t="s">
        <v>194</v>
      </c>
      <c r="C189" s="4">
        <v>64.699999999999903</v>
      </c>
      <c r="D189" s="4">
        <v>304.5</v>
      </c>
      <c r="E189" t="str">
        <f>VLOOKUP(Table2[[#This Row],[Code]],[1]!Table1[#All],2,FALSE)</f>
        <v>Marker</v>
      </c>
      <c r="F189" t="str" cm="1">
        <f t="array" ref="F189">_xlfn.XLOOKUP(Table2[[#This Row],[Code]],[1]!Table1[[#All],[CODE]],[1]!Table1[[#All],[Category]])</f>
        <v>Stationery</v>
      </c>
      <c r="G189" cm="1">
        <f t="array" ref="G189">_xlfn.XLOOKUP(Table2[[#This Row],[Code]],[1]!Table1[[#All],[CODE]],[1]!Table1[[#All],[Rate]])</f>
        <v>304.5</v>
      </c>
      <c r="H189" s="5"/>
    </row>
    <row r="190" spans="1:8" x14ac:dyDescent="0.3">
      <c r="A190" s="3">
        <v>45659</v>
      </c>
      <c r="B190" s="1" t="s">
        <v>195</v>
      </c>
      <c r="C190" s="4">
        <v>64.999999999999901</v>
      </c>
      <c r="D190" s="4">
        <v>306</v>
      </c>
      <c r="E190" t="str">
        <f>VLOOKUP(Table2[[#This Row],[Code]],[1]!Table1[#All],2,FALSE)</f>
        <v>Eraser</v>
      </c>
      <c r="F190" t="str" cm="1">
        <f t="array" ref="F190">_xlfn.XLOOKUP(Table2[[#This Row],[Code]],[1]!Table1[[#All],[CODE]],[1]!Table1[[#All],[Category]])</f>
        <v>Stationery</v>
      </c>
      <c r="G190" cm="1">
        <f t="array" ref="G190">_xlfn.XLOOKUP(Table2[[#This Row],[Code]],[1]!Table1[[#All],[CODE]],[1]!Table1[[#All],[Rate]])</f>
        <v>306</v>
      </c>
      <c r="H190" s="5"/>
    </row>
    <row r="191" spans="1:8" x14ac:dyDescent="0.3">
      <c r="A191" s="3">
        <v>45660</v>
      </c>
      <c r="B191" s="1" t="s">
        <v>196</v>
      </c>
      <c r="C191" s="4">
        <v>65.299999999999898</v>
      </c>
      <c r="D191" s="4">
        <v>307.5</v>
      </c>
      <c r="E191" t="str">
        <f>VLOOKUP(Table2[[#This Row],[Code]],[1]!Table1[#All],2,FALSE)</f>
        <v>File</v>
      </c>
      <c r="F191" t="str" cm="1">
        <f t="array" ref="F191">_xlfn.XLOOKUP(Table2[[#This Row],[Code]],[1]!Table1[[#All],[CODE]],[1]!Table1[[#All],[Category]])</f>
        <v>Office</v>
      </c>
      <c r="G191" cm="1">
        <f t="array" ref="G191">_xlfn.XLOOKUP(Table2[[#This Row],[Code]],[1]!Table1[[#All],[CODE]],[1]!Table1[[#All],[Rate]])</f>
        <v>307.5</v>
      </c>
      <c r="H191" s="5"/>
    </row>
    <row r="192" spans="1:8" x14ac:dyDescent="0.3">
      <c r="A192" s="3">
        <v>45658</v>
      </c>
      <c r="B192" s="1" t="s">
        <v>197</v>
      </c>
      <c r="C192" s="4">
        <v>65.599999999999895</v>
      </c>
      <c r="D192" s="4">
        <v>309</v>
      </c>
      <c r="E192" t="str">
        <f>VLOOKUP(Table2[[#This Row],[Code]],[1]!Table1[#All],2,FALSE)</f>
        <v>Pen</v>
      </c>
      <c r="F192" t="str" cm="1">
        <f t="array" ref="F192">_xlfn.XLOOKUP(Table2[[#This Row],[Code]],[1]!Table1[[#All],[CODE]],[1]!Table1[[#All],[Category]])</f>
        <v>Stationery</v>
      </c>
      <c r="G192" cm="1">
        <f t="array" ref="G192">_xlfn.XLOOKUP(Table2[[#This Row],[Code]],[1]!Table1[[#All],[CODE]],[1]!Table1[[#All],[Rate]])</f>
        <v>309</v>
      </c>
      <c r="H192" s="5"/>
    </row>
    <row r="193" spans="1:8" x14ac:dyDescent="0.3">
      <c r="A193" s="3">
        <v>45658</v>
      </c>
      <c r="B193" s="1" t="s">
        <v>198</v>
      </c>
      <c r="C193" s="4">
        <v>65.899999999999906</v>
      </c>
      <c r="D193" s="4">
        <v>310.5</v>
      </c>
      <c r="E193" t="str">
        <f>VLOOKUP(Table2[[#This Row],[Code]],[1]!Table1[#All],2,FALSE)</f>
        <v>Notebook</v>
      </c>
      <c r="F193" t="str" cm="1">
        <f t="array" ref="F193">_xlfn.XLOOKUP(Table2[[#This Row],[Code]],[1]!Table1[[#All],[CODE]],[1]!Table1[[#All],[Category]])</f>
        <v>Stationery</v>
      </c>
      <c r="G193" cm="1">
        <f t="array" ref="G193">_xlfn.XLOOKUP(Table2[[#This Row],[Code]],[1]!Table1[[#All],[CODE]],[1]!Table1[[#All],[Rate]])</f>
        <v>310.5</v>
      </c>
      <c r="H193" s="5"/>
    </row>
    <row r="194" spans="1:8" x14ac:dyDescent="0.3">
      <c r="A194" s="3">
        <v>45659</v>
      </c>
      <c r="B194" s="1" t="s">
        <v>199</v>
      </c>
      <c r="C194" s="4">
        <v>66.199999999999903</v>
      </c>
      <c r="D194" s="4">
        <v>312</v>
      </c>
      <c r="E194" t="str">
        <f>VLOOKUP(Table2[[#This Row],[Code]],[1]!Table1[#All],2,FALSE)</f>
        <v>Marker</v>
      </c>
      <c r="F194" t="str" cm="1">
        <f t="array" ref="F194">_xlfn.XLOOKUP(Table2[[#This Row],[Code]],[1]!Table1[[#All],[CODE]],[1]!Table1[[#All],[Category]])</f>
        <v>Stationery</v>
      </c>
      <c r="G194" cm="1">
        <f t="array" ref="G194">_xlfn.XLOOKUP(Table2[[#This Row],[Code]],[1]!Table1[[#All],[CODE]],[1]!Table1[[#All],[Rate]])</f>
        <v>312</v>
      </c>
      <c r="H194" s="5"/>
    </row>
    <row r="195" spans="1:8" x14ac:dyDescent="0.3">
      <c r="A195" s="3">
        <v>45659</v>
      </c>
      <c r="B195" s="1" t="s">
        <v>200</v>
      </c>
      <c r="C195" s="4">
        <v>66.499999999999901</v>
      </c>
      <c r="D195" s="4">
        <v>313.5</v>
      </c>
      <c r="E195" t="str">
        <f>VLOOKUP(Table2[[#This Row],[Code]],[1]!Table1[#All],2,FALSE)</f>
        <v>Eraser</v>
      </c>
      <c r="F195" t="str" cm="1">
        <f t="array" ref="F195">_xlfn.XLOOKUP(Table2[[#This Row],[Code]],[1]!Table1[[#All],[CODE]],[1]!Table1[[#All],[Category]])</f>
        <v>Stationery</v>
      </c>
      <c r="G195" cm="1">
        <f t="array" ref="G195">_xlfn.XLOOKUP(Table2[[#This Row],[Code]],[1]!Table1[[#All],[CODE]],[1]!Table1[[#All],[Rate]])</f>
        <v>313.5</v>
      </c>
      <c r="H195" s="5"/>
    </row>
    <row r="196" spans="1:8" x14ac:dyDescent="0.3">
      <c r="A196" s="3">
        <v>45660</v>
      </c>
      <c r="B196" s="1" t="s">
        <v>201</v>
      </c>
      <c r="C196" s="4">
        <v>66.799999999999898</v>
      </c>
      <c r="D196" s="4">
        <v>315</v>
      </c>
      <c r="E196" t="str">
        <f>VLOOKUP(Table2[[#This Row],[Code]],[1]!Table1[#All],2,FALSE)</f>
        <v>File</v>
      </c>
      <c r="F196" t="str" cm="1">
        <f t="array" ref="F196">_xlfn.XLOOKUP(Table2[[#This Row],[Code]],[1]!Table1[[#All],[CODE]],[1]!Table1[[#All],[Category]])</f>
        <v>Office</v>
      </c>
      <c r="G196" cm="1">
        <f t="array" ref="G196">_xlfn.XLOOKUP(Table2[[#This Row],[Code]],[1]!Table1[[#All],[CODE]],[1]!Table1[[#All],[Rate]])</f>
        <v>315</v>
      </c>
      <c r="H196" s="5"/>
    </row>
    <row r="197" spans="1:8" x14ac:dyDescent="0.3">
      <c r="A197" s="3">
        <v>45658</v>
      </c>
      <c r="B197" s="1" t="s">
        <v>202</v>
      </c>
      <c r="C197" s="4">
        <v>67.099999999999895</v>
      </c>
      <c r="D197" s="4">
        <v>316.5</v>
      </c>
      <c r="E197" t="str">
        <f>VLOOKUP(Table2[[#This Row],[Code]],[1]!Table1[#All],2,FALSE)</f>
        <v>Pen</v>
      </c>
      <c r="F197" t="str" cm="1">
        <f t="array" ref="F197">_xlfn.XLOOKUP(Table2[[#This Row],[Code]],[1]!Table1[[#All],[CODE]],[1]!Table1[[#All],[Category]])</f>
        <v>Stationery</v>
      </c>
      <c r="G197" cm="1">
        <f t="array" ref="G197">_xlfn.XLOOKUP(Table2[[#This Row],[Code]],[1]!Table1[[#All],[CODE]],[1]!Table1[[#All],[Rate]])</f>
        <v>316.5</v>
      </c>
      <c r="H197" s="5"/>
    </row>
    <row r="198" spans="1:8" x14ac:dyDescent="0.3">
      <c r="A198" s="3">
        <v>45658</v>
      </c>
      <c r="B198" s="1" t="s">
        <v>203</v>
      </c>
      <c r="C198" s="4">
        <v>67.399999999999906</v>
      </c>
      <c r="D198" s="4">
        <v>318</v>
      </c>
      <c r="E198" t="str">
        <f>VLOOKUP(Table2[[#This Row],[Code]],[1]!Table1[#All],2,FALSE)</f>
        <v>Notebook</v>
      </c>
      <c r="F198" t="str" cm="1">
        <f t="array" ref="F198">_xlfn.XLOOKUP(Table2[[#This Row],[Code]],[1]!Table1[[#All],[CODE]],[1]!Table1[[#All],[Category]])</f>
        <v>Stationery</v>
      </c>
      <c r="G198" cm="1">
        <f t="array" ref="G198">_xlfn.XLOOKUP(Table2[[#This Row],[Code]],[1]!Table1[[#All],[CODE]],[1]!Table1[[#All],[Rate]])</f>
        <v>318</v>
      </c>
      <c r="H198" s="5"/>
    </row>
    <row r="199" spans="1:8" x14ac:dyDescent="0.3">
      <c r="A199" s="3">
        <v>45659</v>
      </c>
      <c r="B199" s="1" t="s">
        <v>204</v>
      </c>
      <c r="C199" s="4">
        <v>67.699999999999903</v>
      </c>
      <c r="D199" s="4">
        <v>319.5</v>
      </c>
      <c r="E199" t="str">
        <f>VLOOKUP(Table2[[#This Row],[Code]],[1]!Table1[#All],2,FALSE)</f>
        <v>Marker</v>
      </c>
      <c r="F199" t="str" cm="1">
        <f t="array" ref="F199">_xlfn.XLOOKUP(Table2[[#This Row],[Code]],[1]!Table1[[#All],[CODE]],[1]!Table1[[#All],[Category]])</f>
        <v>Stationery</v>
      </c>
      <c r="G199" cm="1">
        <f t="array" ref="G199">_xlfn.XLOOKUP(Table2[[#This Row],[Code]],[1]!Table1[[#All],[CODE]],[1]!Table1[[#All],[Rate]])</f>
        <v>319.5</v>
      </c>
      <c r="H199" s="5"/>
    </row>
    <row r="200" spans="1:8" x14ac:dyDescent="0.3">
      <c r="A200" s="3">
        <v>45659</v>
      </c>
      <c r="B200" s="1" t="s">
        <v>205</v>
      </c>
      <c r="C200" s="4">
        <v>67.999999999999901</v>
      </c>
      <c r="D200" s="4">
        <v>321</v>
      </c>
      <c r="E200" t="str">
        <f>VLOOKUP(Table2[[#This Row],[Code]],[1]!Table1[#All],2,FALSE)</f>
        <v>Eraser</v>
      </c>
      <c r="F200" t="str" cm="1">
        <f t="array" ref="F200">_xlfn.XLOOKUP(Table2[[#This Row],[Code]],[1]!Table1[[#All],[CODE]],[1]!Table1[[#All],[Category]])</f>
        <v>Stationery</v>
      </c>
      <c r="G200" cm="1">
        <f t="array" ref="G200">_xlfn.XLOOKUP(Table2[[#This Row],[Code]],[1]!Table1[[#All],[CODE]],[1]!Table1[[#All],[Rate]])</f>
        <v>321</v>
      </c>
      <c r="H200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D5FA-56A0-47C2-9679-F73D11C8702F}">
  <dimension ref="A1:J12"/>
  <sheetViews>
    <sheetView workbookViewId="0">
      <selection activeCell="H17" sqref="H17"/>
    </sheetView>
  </sheetViews>
  <sheetFormatPr defaultRowHeight="14.4" x14ac:dyDescent="0.3"/>
  <cols>
    <col min="1" max="2" width="14.44140625" bestFit="1" customWidth="1"/>
    <col min="5" max="5" width="12.5546875" bestFit="1" customWidth="1"/>
    <col min="6" max="6" width="14.44140625" bestFit="1" customWidth="1"/>
    <col min="9" max="9" width="12.5546875" bestFit="1" customWidth="1"/>
    <col min="10" max="10" width="14.44140625" bestFit="1" customWidth="1"/>
  </cols>
  <sheetData>
    <row r="1" spans="1:10" x14ac:dyDescent="0.3">
      <c r="A1" s="9" t="s">
        <v>207</v>
      </c>
    </row>
    <row r="2" spans="1:10" x14ac:dyDescent="0.3">
      <c r="A2" s="10">
        <v>34327.5</v>
      </c>
    </row>
    <row r="6" spans="1:10" x14ac:dyDescent="0.3">
      <c r="A6" s="6" t="s">
        <v>208</v>
      </c>
      <c r="B6" t="s">
        <v>207</v>
      </c>
      <c r="E6" s="6" t="s">
        <v>208</v>
      </c>
      <c r="F6" t="s">
        <v>207</v>
      </c>
      <c r="I6" s="6" t="s">
        <v>208</v>
      </c>
      <c r="J6" t="s">
        <v>207</v>
      </c>
    </row>
    <row r="7" spans="1:10" x14ac:dyDescent="0.3">
      <c r="A7" s="7" t="s">
        <v>209</v>
      </c>
      <c r="B7" s="5">
        <v>6966.5</v>
      </c>
      <c r="E7" s="7" t="s">
        <v>216</v>
      </c>
      <c r="F7" s="5">
        <v>6737.5</v>
      </c>
      <c r="I7" s="8">
        <v>45658</v>
      </c>
      <c r="J7" s="5">
        <v>13690.5</v>
      </c>
    </row>
    <row r="8" spans="1:10" x14ac:dyDescent="0.3">
      <c r="A8" s="7" t="s">
        <v>210</v>
      </c>
      <c r="B8" s="5">
        <v>6737.5</v>
      </c>
      <c r="E8" s="7" t="s">
        <v>215</v>
      </c>
      <c r="F8" s="5">
        <v>27590</v>
      </c>
      <c r="I8" s="8">
        <v>45659</v>
      </c>
      <c r="J8" s="5">
        <v>13899.5</v>
      </c>
    </row>
    <row r="9" spans="1:10" x14ac:dyDescent="0.3">
      <c r="A9" s="7" t="s">
        <v>211</v>
      </c>
      <c r="B9" s="5">
        <v>6933</v>
      </c>
      <c r="E9" s="7" t="s">
        <v>214</v>
      </c>
      <c r="F9" s="5">
        <v>34327.5</v>
      </c>
      <c r="I9" s="8">
        <v>45660</v>
      </c>
      <c r="J9" s="5">
        <v>6737.5</v>
      </c>
    </row>
    <row r="10" spans="1:10" x14ac:dyDescent="0.3">
      <c r="A10" s="7" t="s">
        <v>212</v>
      </c>
      <c r="B10" s="5">
        <v>6894.5</v>
      </c>
      <c r="I10" s="8" t="s">
        <v>214</v>
      </c>
      <c r="J10" s="5">
        <v>34327.5</v>
      </c>
    </row>
    <row r="11" spans="1:10" x14ac:dyDescent="0.3">
      <c r="A11" s="7" t="s">
        <v>213</v>
      </c>
      <c r="B11" s="5">
        <v>6796</v>
      </c>
    </row>
    <row r="12" spans="1:10" x14ac:dyDescent="0.3">
      <c r="A12" s="7" t="s">
        <v>214</v>
      </c>
      <c r="B12" s="5">
        <v>34327.5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 Master</vt:lpstr>
      <vt:lpstr>Transactions</vt:lpstr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Tiwari</dc:creator>
  <cp:lastModifiedBy>Saurabh Tiwari</cp:lastModifiedBy>
  <dcterms:created xsi:type="dcterms:W3CDTF">2025-12-24T12:36:03Z</dcterms:created>
  <dcterms:modified xsi:type="dcterms:W3CDTF">2025-12-25T06:49:30Z</dcterms:modified>
</cp:coreProperties>
</file>